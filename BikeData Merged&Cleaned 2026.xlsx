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24" windowWidth="21732" windowHeight="9012"/>
  </bookViews>
  <sheets>
    <sheet name="Table1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K2" i="1" l="1"/>
  <c r="L2" i="1"/>
  <c r="N2" i="1"/>
  <c r="O2" i="1"/>
  <c r="P2" i="1"/>
  <c r="Q2" i="1"/>
  <c r="R2" i="1"/>
  <c r="S2" i="1"/>
  <c r="K3" i="1"/>
  <c r="L3" i="1"/>
  <c r="M3" i="1"/>
  <c r="N3" i="1"/>
  <c r="O3" i="1"/>
  <c r="P3" i="1"/>
  <c r="Q3" i="1"/>
  <c r="R3" i="1"/>
  <c r="S3" i="1"/>
  <c r="K4" i="1"/>
  <c r="L4" i="1"/>
  <c r="M4" i="1"/>
  <c r="N4" i="1"/>
  <c r="O4" i="1"/>
  <c r="P4" i="1"/>
  <c r="Q4" i="1"/>
  <c r="R4" i="1"/>
  <c r="S4" i="1"/>
  <c r="K5" i="1"/>
  <c r="L5" i="1"/>
  <c r="M5" i="1"/>
  <c r="N5" i="1"/>
  <c r="O5" i="1"/>
  <c r="P5" i="1"/>
  <c r="Q5" i="1"/>
  <c r="R5" i="1"/>
  <c r="S5" i="1"/>
  <c r="K6" i="1"/>
  <c r="L6" i="1"/>
  <c r="M6" i="1"/>
  <c r="N6" i="1"/>
  <c r="O6" i="1"/>
  <c r="P6" i="1"/>
  <c r="Q6" i="1"/>
  <c r="R6" i="1"/>
  <c r="S6" i="1"/>
  <c r="K7" i="1"/>
  <c r="L7" i="1"/>
  <c r="M7" i="1"/>
  <c r="N7" i="1"/>
  <c r="O7" i="1"/>
  <c r="P7" i="1"/>
  <c r="Q7" i="1"/>
  <c r="R7" i="1"/>
  <c r="S7" i="1"/>
  <c r="K8" i="1"/>
  <c r="L8" i="1"/>
  <c r="M8" i="1"/>
  <c r="N8" i="1"/>
  <c r="O8" i="1"/>
  <c r="P8" i="1"/>
  <c r="Q8" i="1"/>
  <c r="R8" i="1"/>
  <c r="S8" i="1"/>
  <c r="K9" i="1"/>
  <c r="L9" i="1"/>
  <c r="M9" i="1"/>
  <c r="N9" i="1"/>
  <c r="O9" i="1"/>
  <c r="P9" i="1"/>
  <c r="Q9" i="1"/>
  <c r="R9" i="1"/>
  <c r="S9" i="1"/>
  <c r="K10" i="1"/>
  <c r="L10" i="1"/>
  <c r="M10" i="1"/>
  <c r="N10" i="1"/>
  <c r="O10" i="1"/>
  <c r="P10" i="1"/>
  <c r="Q10" i="1"/>
  <c r="R10" i="1"/>
  <c r="S10" i="1"/>
  <c r="K11" i="1"/>
  <c r="L11" i="1"/>
  <c r="M11" i="1"/>
  <c r="N11" i="1"/>
  <c r="O11" i="1"/>
  <c r="P11" i="1"/>
  <c r="Q11" i="1"/>
  <c r="R11" i="1"/>
  <c r="S11" i="1"/>
  <c r="K12" i="1"/>
  <c r="L12" i="1"/>
  <c r="M12" i="1"/>
  <c r="N12" i="1"/>
  <c r="O12" i="1"/>
  <c r="P12" i="1"/>
  <c r="Q12" i="1"/>
  <c r="R12" i="1"/>
  <c r="S12" i="1"/>
  <c r="K13" i="1"/>
  <c r="L13" i="1"/>
  <c r="M13" i="1"/>
  <c r="N13" i="1"/>
  <c r="O13" i="1"/>
  <c r="P13" i="1"/>
  <c r="Q13" i="1"/>
  <c r="R13" i="1"/>
  <c r="S13" i="1"/>
  <c r="K14" i="1"/>
  <c r="L14" i="1"/>
  <c r="M14" i="1"/>
  <c r="N14" i="1"/>
  <c r="O14" i="1"/>
  <c r="P14" i="1"/>
  <c r="Q14" i="1"/>
  <c r="R14" i="1"/>
  <c r="S14" i="1"/>
  <c r="K15" i="1"/>
  <c r="L15" i="1"/>
  <c r="M15" i="1"/>
  <c r="N15" i="1"/>
  <c r="O15" i="1"/>
  <c r="P15" i="1"/>
  <c r="Q15" i="1"/>
  <c r="R15" i="1"/>
  <c r="S15" i="1"/>
  <c r="K16" i="1"/>
  <c r="L16" i="1"/>
  <c r="M16" i="1"/>
  <c r="N16" i="1"/>
  <c r="O16" i="1"/>
  <c r="P16" i="1"/>
  <c r="Q16" i="1"/>
  <c r="R16" i="1"/>
  <c r="S16" i="1"/>
  <c r="K17" i="1"/>
  <c r="L17" i="1"/>
  <c r="M17" i="1"/>
  <c r="N17" i="1"/>
  <c r="O17" i="1"/>
  <c r="P17" i="1"/>
  <c r="Q17" i="1"/>
  <c r="R17" i="1"/>
  <c r="S17" i="1"/>
  <c r="K18" i="1"/>
  <c r="L18" i="1"/>
  <c r="M18" i="1"/>
  <c r="N18" i="1"/>
  <c r="O18" i="1"/>
  <c r="P18" i="1"/>
  <c r="Q18" i="1"/>
  <c r="R18" i="1"/>
  <c r="S18" i="1"/>
  <c r="K19" i="1"/>
  <c r="L19" i="1"/>
  <c r="M19" i="1"/>
  <c r="N19" i="1"/>
  <c r="O19" i="1"/>
  <c r="P19" i="1"/>
  <c r="Q19" i="1"/>
  <c r="R19" i="1"/>
  <c r="S19" i="1"/>
  <c r="K20" i="1"/>
  <c r="L20" i="1"/>
  <c r="M20" i="1"/>
  <c r="N20" i="1"/>
  <c r="O20" i="1"/>
  <c r="P20" i="1"/>
  <c r="Q20" i="1"/>
  <c r="R20" i="1"/>
  <c r="S20" i="1"/>
  <c r="K21" i="1"/>
  <c r="L21" i="1"/>
  <c r="M21" i="1"/>
  <c r="N21" i="1"/>
  <c r="O21" i="1"/>
  <c r="P21" i="1"/>
  <c r="Q21" i="1"/>
  <c r="R21" i="1"/>
  <c r="S21" i="1"/>
  <c r="K22" i="1"/>
  <c r="L22" i="1"/>
  <c r="M22" i="1"/>
  <c r="N22" i="1"/>
  <c r="O22" i="1"/>
  <c r="P22" i="1"/>
  <c r="Q22" i="1"/>
  <c r="R22" i="1"/>
  <c r="S22" i="1"/>
  <c r="K23" i="1"/>
  <c r="L23" i="1"/>
  <c r="M23" i="1"/>
  <c r="N23" i="1"/>
  <c r="O23" i="1"/>
  <c r="P23" i="1"/>
  <c r="Q23" i="1"/>
  <c r="R23" i="1"/>
  <c r="S23" i="1"/>
  <c r="K24" i="1"/>
  <c r="L24" i="1"/>
  <c r="M24" i="1"/>
  <c r="N24" i="1"/>
  <c r="O24" i="1"/>
  <c r="P24" i="1"/>
  <c r="Q24" i="1"/>
  <c r="R24" i="1"/>
  <c r="S24" i="1"/>
  <c r="K25" i="1"/>
  <c r="L25" i="1"/>
  <c r="M25" i="1"/>
  <c r="N25" i="1"/>
  <c r="O25" i="1"/>
  <c r="P25" i="1"/>
  <c r="Q25" i="1"/>
  <c r="R25" i="1"/>
  <c r="S25" i="1"/>
  <c r="K26" i="1"/>
  <c r="L26" i="1"/>
  <c r="M26" i="1"/>
  <c r="N26" i="1"/>
  <c r="O26" i="1"/>
  <c r="P26" i="1"/>
  <c r="Q26" i="1"/>
  <c r="R26" i="1"/>
  <c r="S26" i="1"/>
  <c r="K27" i="1"/>
  <c r="L27" i="1"/>
  <c r="M27" i="1"/>
  <c r="N27" i="1"/>
  <c r="O27" i="1"/>
  <c r="P27" i="1"/>
  <c r="Q27" i="1"/>
  <c r="R27" i="1"/>
  <c r="S27" i="1"/>
  <c r="K28" i="1"/>
  <c r="L28" i="1"/>
  <c r="M28" i="1"/>
  <c r="N28" i="1"/>
  <c r="O28" i="1"/>
  <c r="P28" i="1"/>
  <c r="Q28" i="1"/>
  <c r="R28" i="1"/>
  <c r="S28" i="1"/>
  <c r="K29" i="1"/>
  <c r="L29" i="1"/>
  <c r="M29" i="1"/>
  <c r="N29" i="1"/>
  <c r="O29" i="1"/>
  <c r="P29" i="1"/>
  <c r="Q29" i="1"/>
  <c r="R29" i="1"/>
  <c r="S29" i="1"/>
  <c r="K30" i="1"/>
  <c r="L30" i="1"/>
  <c r="M30" i="1"/>
  <c r="N30" i="1"/>
  <c r="O30" i="1"/>
  <c r="P30" i="1"/>
  <c r="Q30" i="1"/>
  <c r="R30" i="1"/>
  <c r="S30" i="1"/>
  <c r="K31" i="1"/>
  <c r="L31" i="1"/>
  <c r="M31" i="1"/>
  <c r="N31" i="1"/>
  <c r="O31" i="1"/>
  <c r="P31" i="1"/>
  <c r="Q31" i="1"/>
  <c r="R31" i="1"/>
  <c r="S31" i="1"/>
  <c r="K32" i="1"/>
  <c r="L32" i="1"/>
  <c r="M32" i="1"/>
  <c r="N32" i="1"/>
  <c r="O32" i="1"/>
  <c r="P32" i="1"/>
  <c r="Q32" i="1"/>
  <c r="R32" i="1"/>
  <c r="S32" i="1"/>
  <c r="K33" i="1"/>
  <c r="L33" i="1"/>
  <c r="M33" i="1"/>
  <c r="N33" i="1"/>
  <c r="O33" i="1"/>
  <c r="P33" i="1"/>
  <c r="Q33" i="1"/>
  <c r="R33" i="1"/>
  <c r="S33" i="1"/>
  <c r="K34" i="1"/>
  <c r="L34" i="1"/>
  <c r="M34" i="1"/>
  <c r="N34" i="1"/>
  <c r="O34" i="1"/>
  <c r="P34" i="1"/>
  <c r="Q34" i="1"/>
  <c r="R34" i="1"/>
  <c r="S34" i="1"/>
  <c r="K35" i="1"/>
  <c r="L35" i="1"/>
  <c r="M35" i="1"/>
  <c r="N35" i="1"/>
  <c r="O35" i="1"/>
  <c r="P35" i="1"/>
  <c r="Q35" i="1"/>
  <c r="R35" i="1"/>
  <c r="S35" i="1"/>
  <c r="K36" i="1"/>
  <c r="L36" i="1"/>
  <c r="M36" i="1"/>
  <c r="N36" i="1"/>
  <c r="O36" i="1"/>
  <c r="P36" i="1"/>
  <c r="Q36" i="1"/>
  <c r="R36" i="1"/>
  <c r="S36" i="1"/>
  <c r="K37" i="1"/>
  <c r="L37" i="1"/>
  <c r="M37" i="1"/>
  <c r="N37" i="1"/>
  <c r="O37" i="1"/>
  <c r="P37" i="1"/>
  <c r="Q37" i="1"/>
  <c r="R37" i="1"/>
  <c r="S37" i="1"/>
  <c r="K38" i="1"/>
  <c r="L38" i="1"/>
  <c r="M38" i="1"/>
  <c r="N38" i="1"/>
  <c r="O38" i="1"/>
  <c r="P38" i="1"/>
  <c r="Q38" i="1"/>
  <c r="R38" i="1"/>
  <c r="S38" i="1"/>
  <c r="K39" i="1"/>
  <c r="L39" i="1"/>
  <c r="M39" i="1"/>
  <c r="N39" i="1"/>
  <c r="O39" i="1"/>
  <c r="P39" i="1"/>
  <c r="Q39" i="1"/>
  <c r="R39" i="1"/>
  <c r="S39" i="1"/>
  <c r="K40" i="1"/>
  <c r="L40" i="1"/>
  <c r="M40" i="1"/>
  <c r="N40" i="1"/>
  <c r="O40" i="1"/>
  <c r="P40" i="1"/>
  <c r="Q40" i="1"/>
  <c r="R40" i="1"/>
  <c r="S40" i="1"/>
  <c r="K41" i="1"/>
  <c r="L41" i="1"/>
  <c r="M41" i="1"/>
  <c r="N41" i="1"/>
  <c r="O41" i="1"/>
  <c r="P41" i="1"/>
  <c r="Q41" i="1"/>
  <c r="R41" i="1"/>
  <c r="S41" i="1"/>
  <c r="K42" i="1"/>
  <c r="L42" i="1"/>
  <c r="M42" i="1"/>
  <c r="N42" i="1"/>
  <c r="O42" i="1"/>
  <c r="P42" i="1"/>
  <c r="Q42" i="1"/>
  <c r="R42" i="1"/>
  <c r="S42" i="1"/>
  <c r="K43" i="1"/>
  <c r="L43" i="1"/>
  <c r="M43" i="1"/>
  <c r="N43" i="1"/>
  <c r="O43" i="1"/>
  <c r="P43" i="1"/>
  <c r="Q43" i="1"/>
  <c r="R43" i="1"/>
  <c r="S43" i="1"/>
  <c r="K44" i="1"/>
  <c r="L44" i="1"/>
  <c r="M44" i="1"/>
  <c r="N44" i="1"/>
  <c r="O44" i="1"/>
  <c r="P44" i="1"/>
  <c r="Q44" i="1"/>
  <c r="R44" i="1"/>
  <c r="S44" i="1"/>
  <c r="K45" i="1"/>
  <c r="L45" i="1"/>
  <c r="M45" i="1"/>
  <c r="N45" i="1"/>
  <c r="O45" i="1"/>
  <c r="P45" i="1"/>
  <c r="Q45" i="1"/>
  <c r="R45" i="1"/>
  <c r="S45" i="1"/>
  <c r="K46" i="1"/>
  <c r="L46" i="1"/>
  <c r="M46" i="1"/>
  <c r="N46" i="1"/>
  <c r="O46" i="1"/>
  <c r="P46" i="1"/>
  <c r="Q46" i="1"/>
  <c r="R46" i="1"/>
  <c r="S46" i="1"/>
  <c r="K47" i="1"/>
  <c r="L47" i="1"/>
  <c r="M47" i="1"/>
  <c r="N47" i="1"/>
  <c r="O47" i="1"/>
  <c r="P47" i="1"/>
  <c r="Q47" i="1"/>
  <c r="R47" i="1"/>
  <c r="S47" i="1"/>
  <c r="K48" i="1"/>
  <c r="L48" i="1"/>
  <c r="M48" i="1"/>
  <c r="N48" i="1"/>
  <c r="O48" i="1"/>
  <c r="P48" i="1"/>
  <c r="Q48" i="1"/>
  <c r="R48" i="1"/>
  <c r="S48" i="1"/>
  <c r="K49" i="1"/>
  <c r="L49" i="1"/>
  <c r="M49" i="1"/>
  <c r="N49" i="1"/>
  <c r="O49" i="1"/>
  <c r="P49" i="1"/>
  <c r="Q49" i="1"/>
  <c r="R49" i="1"/>
  <c r="S49" i="1"/>
  <c r="K50" i="1"/>
  <c r="L50" i="1"/>
  <c r="M50" i="1"/>
  <c r="N50" i="1"/>
  <c r="O50" i="1"/>
  <c r="P50" i="1"/>
  <c r="Q50" i="1"/>
  <c r="R50" i="1"/>
  <c r="S50" i="1"/>
  <c r="K51" i="1"/>
  <c r="L51" i="1"/>
  <c r="M51" i="1"/>
  <c r="N51" i="1"/>
  <c r="O51" i="1"/>
  <c r="P51" i="1"/>
  <c r="Q51" i="1"/>
  <c r="R51" i="1"/>
  <c r="S51" i="1"/>
  <c r="K52" i="1"/>
  <c r="L52" i="1"/>
  <c r="M52" i="1"/>
  <c r="N52" i="1"/>
  <c r="O52" i="1"/>
  <c r="P52" i="1"/>
  <c r="Q52" i="1"/>
  <c r="R52" i="1"/>
  <c r="S52" i="1"/>
  <c r="K53" i="1"/>
  <c r="L53" i="1"/>
  <c r="M53" i="1"/>
  <c r="N53" i="1"/>
  <c r="O53" i="1"/>
  <c r="P53" i="1"/>
  <c r="Q53" i="1"/>
  <c r="R53" i="1"/>
  <c r="S53" i="1"/>
  <c r="K54" i="1"/>
  <c r="L54" i="1"/>
  <c r="M54" i="1"/>
  <c r="N54" i="1"/>
  <c r="O54" i="1"/>
  <c r="P54" i="1"/>
  <c r="Q54" i="1"/>
  <c r="R54" i="1"/>
  <c r="S54" i="1"/>
  <c r="K55" i="1"/>
  <c r="L55" i="1"/>
  <c r="M55" i="1"/>
  <c r="N55" i="1"/>
  <c r="O55" i="1"/>
  <c r="P55" i="1"/>
  <c r="Q55" i="1"/>
  <c r="R55" i="1"/>
  <c r="S55" i="1"/>
  <c r="K56" i="1"/>
  <c r="L56" i="1"/>
  <c r="M56" i="1"/>
  <c r="N56" i="1"/>
  <c r="O56" i="1"/>
  <c r="P56" i="1"/>
  <c r="Q56" i="1"/>
  <c r="R56" i="1"/>
  <c r="S56" i="1"/>
  <c r="K57" i="1"/>
  <c r="L57" i="1"/>
  <c r="M57" i="1"/>
  <c r="N57" i="1"/>
  <c r="O57" i="1"/>
  <c r="P57" i="1"/>
  <c r="Q57" i="1"/>
  <c r="R57" i="1"/>
  <c r="S57" i="1"/>
  <c r="K58" i="1"/>
  <c r="L58" i="1"/>
  <c r="M58" i="1"/>
  <c r="N58" i="1"/>
  <c r="O58" i="1"/>
  <c r="P58" i="1"/>
  <c r="Q58" i="1"/>
  <c r="R58" i="1"/>
  <c r="S58" i="1"/>
  <c r="K59" i="1"/>
  <c r="L59" i="1"/>
  <c r="M59" i="1"/>
  <c r="N59" i="1"/>
  <c r="O59" i="1"/>
  <c r="P59" i="1"/>
  <c r="Q59" i="1"/>
  <c r="R59" i="1"/>
  <c r="S59" i="1"/>
  <c r="K60" i="1"/>
  <c r="L60" i="1"/>
  <c r="M60" i="1"/>
  <c r="N60" i="1"/>
  <c r="O60" i="1"/>
  <c r="P60" i="1"/>
  <c r="Q60" i="1"/>
  <c r="R60" i="1"/>
  <c r="S60" i="1"/>
  <c r="K61" i="1"/>
  <c r="L61" i="1"/>
  <c r="M61" i="1"/>
  <c r="N61" i="1"/>
  <c r="O61" i="1"/>
  <c r="P61" i="1"/>
  <c r="Q61" i="1"/>
  <c r="R61" i="1"/>
  <c r="S61" i="1"/>
  <c r="K62" i="1"/>
  <c r="L62" i="1"/>
  <c r="M62" i="1"/>
  <c r="N62" i="1"/>
  <c r="O62" i="1"/>
  <c r="P62" i="1"/>
  <c r="Q62" i="1"/>
  <c r="R62" i="1"/>
  <c r="S62" i="1"/>
  <c r="K63" i="1"/>
  <c r="L63" i="1"/>
  <c r="M63" i="1"/>
  <c r="N63" i="1"/>
  <c r="O63" i="1"/>
  <c r="P63" i="1"/>
  <c r="Q63" i="1"/>
  <c r="R63" i="1"/>
  <c r="S63" i="1"/>
  <c r="K64" i="1"/>
  <c r="L64" i="1"/>
  <c r="M64" i="1"/>
  <c r="N64" i="1"/>
  <c r="O64" i="1"/>
  <c r="P64" i="1"/>
  <c r="Q64" i="1"/>
  <c r="R64" i="1"/>
  <c r="S64" i="1"/>
  <c r="K65" i="1"/>
  <c r="L65" i="1"/>
  <c r="M65" i="1"/>
  <c r="N65" i="1"/>
  <c r="O65" i="1"/>
  <c r="P65" i="1"/>
  <c r="Q65" i="1"/>
  <c r="R65" i="1"/>
  <c r="S65" i="1"/>
  <c r="K66" i="1"/>
  <c r="L66" i="1"/>
  <c r="M66" i="1"/>
  <c r="N66" i="1"/>
  <c r="O66" i="1"/>
  <c r="P66" i="1"/>
  <c r="Q66" i="1"/>
  <c r="R66" i="1"/>
  <c r="S66" i="1"/>
  <c r="K67" i="1"/>
  <c r="L67" i="1"/>
  <c r="M67" i="1"/>
  <c r="N67" i="1"/>
  <c r="O67" i="1"/>
  <c r="P67" i="1"/>
  <c r="Q67" i="1"/>
  <c r="R67" i="1"/>
  <c r="S67" i="1"/>
  <c r="K68" i="1"/>
  <c r="L68" i="1"/>
  <c r="M68" i="1"/>
  <c r="N68" i="1"/>
  <c r="O68" i="1"/>
  <c r="P68" i="1"/>
  <c r="Q68" i="1"/>
  <c r="R68" i="1"/>
  <c r="S68" i="1"/>
  <c r="K69" i="1"/>
  <c r="L69" i="1"/>
  <c r="M69" i="1"/>
  <c r="N69" i="1"/>
  <c r="O69" i="1"/>
  <c r="P69" i="1"/>
  <c r="Q69" i="1"/>
  <c r="R69" i="1"/>
  <c r="S69" i="1"/>
  <c r="K70" i="1"/>
  <c r="L70" i="1"/>
  <c r="M70" i="1"/>
  <c r="N70" i="1"/>
  <c r="O70" i="1"/>
  <c r="P70" i="1"/>
  <c r="Q70" i="1"/>
  <c r="R70" i="1"/>
  <c r="S70" i="1"/>
  <c r="K71" i="1"/>
  <c r="L71" i="1"/>
  <c r="M71" i="1"/>
  <c r="N71" i="1"/>
  <c r="O71" i="1"/>
  <c r="P71" i="1"/>
  <c r="Q71" i="1"/>
  <c r="R71" i="1"/>
  <c r="S71" i="1"/>
  <c r="K72" i="1"/>
  <c r="L72" i="1"/>
  <c r="M72" i="1"/>
  <c r="N72" i="1"/>
  <c r="O72" i="1"/>
  <c r="P72" i="1"/>
  <c r="Q72" i="1"/>
  <c r="R72" i="1"/>
  <c r="S72" i="1"/>
  <c r="K73" i="1"/>
  <c r="L73" i="1"/>
  <c r="M73" i="1"/>
  <c r="N73" i="1"/>
  <c r="O73" i="1"/>
  <c r="P73" i="1"/>
  <c r="Q73" i="1"/>
  <c r="R73" i="1"/>
  <c r="S73" i="1"/>
  <c r="K74" i="1"/>
  <c r="L74" i="1"/>
  <c r="M74" i="1"/>
  <c r="N74" i="1"/>
  <c r="O74" i="1"/>
  <c r="P74" i="1"/>
  <c r="Q74" i="1"/>
  <c r="R74" i="1"/>
  <c r="S74" i="1"/>
  <c r="K75" i="1"/>
  <c r="L75" i="1"/>
  <c r="M75" i="1"/>
  <c r="N75" i="1"/>
  <c r="O75" i="1"/>
  <c r="P75" i="1"/>
  <c r="Q75" i="1"/>
  <c r="R75" i="1"/>
  <c r="S75" i="1"/>
  <c r="K76" i="1"/>
  <c r="L76" i="1"/>
  <c r="M76" i="1"/>
  <c r="N76" i="1"/>
  <c r="O76" i="1"/>
  <c r="P76" i="1"/>
  <c r="Q76" i="1"/>
  <c r="R76" i="1"/>
  <c r="S76" i="1"/>
  <c r="K77" i="1"/>
  <c r="L77" i="1"/>
  <c r="M77" i="1"/>
  <c r="N77" i="1"/>
  <c r="O77" i="1"/>
  <c r="P77" i="1"/>
  <c r="Q77" i="1"/>
  <c r="R77" i="1"/>
  <c r="S77" i="1"/>
  <c r="K78" i="1"/>
  <c r="L78" i="1"/>
  <c r="M78" i="1"/>
  <c r="N78" i="1"/>
  <c r="O78" i="1"/>
  <c r="P78" i="1"/>
  <c r="Q78" i="1"/>
  <c r="R78" i="1"/>
  <c r="S78" i="1"/>
  <c r="K79" i="1"/>
  <c r="L79" i="1"/>
  <c r="M79" i="1"/>
  <c r="N79" i="1"/>
  <c r="O79" i="1"/>
  <c r="P79" i="1"/>
  <c r="Q79" i="1"/>
  <c r="R79" i="1"/>
  <c r="S79" i="1"/>
  <c r="K80" i="1"/>
  <c r="L80" i="1"/>
  <c r="M80" i="1"/>
  <c r="N80" i="1"/>
  <c r="O80" i="1"/>
  <c r="P80" i="1"/>
  <c r="Q80" i="1"/>
  <c r="R80" i="1"/>
  <c r="S80" i="1"/>
  <c r="K81" i="1"/>
  <c r="L81" i="1"/>
  <c r="M81" i="1"/>
  <c r="N81" i="1"/>
  <c r="O81" i="1"/>
  <c r="P81" i="1"/>
  <c r="Q81" i="1"/>
  <c r="R81" i="1"/>
  <c r="S81" i="1"/>
  <c r="K82" i="1"/>
  <c r="L82" i="1"/>
  <c r="M82" i="1"/>
  <c r="N82" i="1"/>
  <c r="O82" i="1"/>
  <c r="P82" i="1"/>
  <c r="Q82" i="1"/>
  <c r="R82" i="1"/>
  <c r="S82" i="1"/>
  <c r="K83" i="1"/>
  <c r="L83" i="1"/>
  <c r="M83" i="1"/>
  <c r="N83" i="1"/>
  <c r="O83" i="1"/>
  <c r="P83" i="1"/>
  <c r="Q83" i="1"/>
  <c r="R83" i="1"/>
  <c r="S83" i="1"/>
  <c r="K84" i="1"/>
  <c r="L84" i="1"/>
  <c r="M84" i="1"/>
  <c r="N84" i="1"/>
  <c r="O84" i="1"/>
  <c r="P84" i="1"/>
  <c r="Q84" i="1"/>
  <c r="R84" i="1"/>
  <c r="S84" i="1"/>
  <c r="K85" i="1"/>
  <c r="L85" i="1"/>
  <c r="M85" i="1"/>
  <c r="N85" i="1"/>
  <c r="O85" i="1"/>
  <c r="P85" i="1"/>
  <c r="Q85" i="1"/>
  <c r="R85" i="1"/>
  <c r="S85" i="1"/>
  <c r="K86" i="1"/>
  <c r="L86" i="1"/>
  <c r="M86" i="1"/>
  <c r="N86" i="1"/>
  <c r="O86" i="1"/>
  <c r="P86" i="1"/>
  <c r="Q86" i="1"/>
  <c r="R86" i="1"/>
  <c r="S86" i="1"/>
  <c r="K87" i="1"/>
  <c r="L87" i="1"/>
  <c r="M87" i="1"/>
  <c r="N87" i="1"/>
  <c r="O87" i="1"/>
  <c r="P87" i="1"/>
  <c r="Q87" i="1"/>
  <c r="R87" i="1"/>
  <c r="S87" i="1"/>
  <c r="K88" i="1"/>
  <c r="L88" i="1"/>
  <c r="M88" i="1"/>
  <c r="N88" i="1"/>
  <c r="O88" i="1"/>
  <c r="P88" i="1"/>
  <c r="Q88" i="1"/>
  <c r="R88" i="1"/>
  <c r="S88" i="1"/>
  <c r="K89" i="1"/>
  <c r="L89" i="1"/>
  <c r="M89" i="1"/>
  <c r="N89" i="1"/>
  <c r="O89" i="1"/>
  <c r="P89" i="1"/>
  <c r="Q89" i="1"/>
  <c r="R89" i="1"/>
  <c r="S89" i="1"/>
  <c r="K90" i="1"/>
  <c r="L90" i="1"/>
  <c r="M90" i="1"/>
  <c r="N90" i="1"/>
  <c r="O90" i="1"/>
  <c r="P90" i="1"/>
  <c r="Q90" i="1"/>
  <c r="R90" i="1"/>
  <c r="S90" i="1"/>
  <c r="K91" i="1"/>
  <c r="L91" i="1"/>
  <c r="M91" i="1"/>
  <c r="N91" i="1"/>
  <c r="O91" i="1"/>
  <c r="P91" i="1"/>
  <c r="Q91" i="1"/>
  <c r="R91" i="1"/>
  <c r="S91" i="1"/>
  <c r="K92" i="1"/>
  <c r="L92" i="1"/>
  <c r="M92" i="1"/>
  <c r="N92" i="1"/>
  <c r="O92" i="1"/>
  <c r="P92" i="1"/>
  <c r="Q92" i="1"/>
  <c r="R92" i="1"/>
  <c r="S92" i="1"/>
  <c r="K93" i="1"/>
  <c r="L93" i="1"/>
  <c r="M93" i="1"/>
  <c r="N93" i="1"/>
  <c r="O93" i="1"/>
  <c r="P93" i="1"/>
  <c r="Q93" i="1"/>
  <c r="R93" i="1"/>
  <c r="S93" i="1"/>
  <c r="K94" i="1"/>
  <c r="L94" i="1"/>
  <c r="M94" i="1"/>
  <c r="N94" i="1"/>
  <c r="O94" i="1"/>
  <c r="P94" i="1"/>
  <c r="Q94" i="1"/>
  <c r="R94" i="1"/>
  <c r="S94" i="1"/>
  <c r="K95" i="1"/>
  <c r="L95" i="1"/>
  <c r="M95" i="1"/>
  <c r="N95" i="1"/>
  <c r="O95" i="1"/>
  <c r="P95" i="1"/>
  <c r="Q95" i="1"/>
  <c r="R95" i="1"/>
  <c r="S95" i="1"/>
  <c r="K96" i="1"/>
  <c r="L96" i="1"/>
  <c r="M96" i="1"/>
  <c r="N96" i="1"/>
  <c r="O96" i="1"/>
  <c r="P96" i="1"/>
  <c r="Q96" i="1"/>
  <c r="R96" i="1"/>
  <c r="S96" i="1"/>
  <c r="K97" i="1"/>
  <c r="L97" i="1"/>
  <c r="M97" i="1"/>
  <c r="N97" i="1"/>
  <c r="O97" i="1"/>
  <c r="P97" i="1"/>
  <c r="Q97" i="1"/>
  <c r="R97" i="1"/>
  <c r="S97" i="1"/>
  <c r="K98" i="1"/>
  <c r="L98" i="1"/>
  <c r="M98" i="1"/>
  <c r="N98" i="1"/>
  <c r="O98" i="1"/>
  <c r="P98" i="1"/>
  <c r="Q98" i="1"/>
  <c r="R98" i="1"/>
  <c r="S98" i="1"/>
  <c r="K99" i="1"/>
  <c r="L99" i="1"/>
  <c r="M99" i="1"/>
  <c r="N99" i="1"/>
  <c r="O99" i="1"/>
  <c r="P99" i="1"/>
  <c r="Q99" i="1"/>
  <c r="R99" i="1"/>
  <c r="S99" i="1"/>
  <c r="K100" i="1"/>
  <c r="L100" i="1"/>
  <c r="M100" i="1"/>
  <c r="N100" i="1"/>
  <c r="O100" i="1"/>
  <c r="P100" i="1"/>
  <c r="Q100" i="1"/>
  <c r="R100" i="1"/>
  <c r="S100" i="1"/>
  <c r="K101" i="1"/>
  <c r="L101" i="1"/>
  <c r="M101" i="1"/>
  <c r="N101" i="1"/>
  <c r="O101" i="1"/>
  <c r="P101" i="1"/>
  <c r="Q101" i="1"/>
  <c r="R101" i="1"/>
  <c r="S101" i="1"/>
  <c r="K102" i="1"/>
  <c r="L102" i="1"/>
  <c r="M102" i="1"/>
  <c r="N102" i="1"/>
  <c r="O102" i="1"/>
  <c r="P102" i="1"/>
  <c r="Q102" i="1"/>
  <c r="R102" i="1"/>
  <c r="S102" i="1"/>
  <c r="K103" i="1"/>
  <c r="L103" i="1"/>
  <c r="M103" i="1"/>
  <c r="N103" i="1"/>
  <c r="O103" i="1"/>
  <c r="P103" i="1"/>
  <c r="Q103" i="1"/>
  <c r="R103" i="1"/>
  <c r="S103" i="1"/>
  <c r="K104" i="1"/>
  <c r="L104" i="1"/>
  <c r="M104" i="1"/>
  <c r="N104" i="1"/>
  <c r="O104" i="1"/>
  <c r="P104" i="1"/>
  <c r="Q104" i="1"/>
  <c r="R104" i="1"/>
  <c r="S104" i="1"/>
  <c r="K105" i="1"/>
  <c r="L105" i="1"/>
  <c r="M105" i="1"/>
  <c r="N105" i="1"/>
  <c r="O105" i="1"/>
  <c r="P105" i="1"/>
  <c r="Q105" i="1"/>
  <c r="R105" i="1"/>
  <c r="S105" i="1"/>
  <c r="K106" i="1"/>
  <c r="L106" i="1"/>
  <c r="M106" i="1"/>
  <c r="N106" i="1"/>
  <c r="O106" i="1"/>
  <c r="P106" i="1"/>
  <c r="Q106" i="1"/>
  <c r="R106" i="1"/>
  <c r="S106" i="1"/>
  <c r="K107" i="1"/>
  <c r="L107" i="1"/>
  <c r="M107" i="1"/>
  <c r="N107" i="1"/>
  <c r="O107" i="1"/>
  <c r="P107" i="1"/>
  <c r="Q107" i="1"/>
  <c r="R107" i="1"/>
  <c r="S107" i="1"/>
  <c r="K108" i="1"/>
  <c r="L108" i="1"/>
  <c r="M108" i="1"/>
  <c r="N108" i="1"/>
  <c r="O108" i="1"/>
  <c r="P108" i="1"/>
  <c r="Q108" i="1"/>
  <c r="R108" i="1"/>
  <c r="S108" i="1"/>
  <c r="K109" i="1"/>
  <c r="L109" i="1"/>
  <c r="M109" i="1"/>
  <c r="N109" i="1"/>
  <c r="O109" i="1"/>
  <c r="P109" i="1"/>
  <c r="Q109" i="1"/>
  <c r="R109" i="1"/>
  <c r="S109" i="1"/>
  <c r="K110" i="1"/>
  <c r="L110" i="1"/>
  <c r="M110" i="1"/>
  <c r="N110" i="1"/>
  <c r="O110" i="1"/>
  <c r="P110" i="1"/>
  <c r="Q110" i="1"/>
  <c r="R110" i="1"/>
  <c r="S110" i="1"/>
  <c r="K111" i="1"/>
  <c r="L111" i="1"/>
  <c r="M111" i="1"/>
  <c r="N111" i="1"/>
  <c r="O111" i="1"/>
  <c r="P111" i="1"/>
  <c r="Q111" i="1"/>
  <c r="R111" i="1"/>
  <c r="S111" i="1"/>
  <c r="K112" i="1"/>
  <c r="L112" i="1"/>
  <c r="M112" i="1"/>
  <c r="N112" i="1"/>
  <c r="O112" i="1"/>
  <c r="P112" i="1"/>
  <c r="Q112" i="1"/>
  <c r="R112" i="1"/>
  <c r="S112" i="1"/>
  <c r="K113" i="1"/>
  <c r="L113" i="1"/>
  <c r="M113" i="1"/>
  <c r="N113" i="1"/>
  <c r="O113" i="1"/>
  <c r="P113" i="1"/>
  <c r="Q113" i="1"/>
  <c r="R113" i="1"/>
  <c r="S113" i="1"/>
  <c r="K114" i="1"/>
  <c r="L114" i="1"/>
  <c r="M114" i="1"/>
  <c r="N114" i="1"/>
  <c r="O114" i="1"/>
  <c r="P114" i="1"/>
  <c r="Q114" i="1"/>
  <c r="R114" i="1"/>
  <c r="S114" i="1"/>
  <c r="K115" i="1"/>
  <c r="L115" i="1"/>
  <c r="M115" i="1"/>
  <c r="N115" i="1"/>
  <c r="O115" i="1"/>
  <c r="P115" i="1"/>
  <c r="Q115" i="1"/>
  <c r="R115" i="1"/>
  <c r="S115" i="1"/>
  <c r="K116" i="1"/>
  <c r="L116" i="1"/>
  <c r="M116" i="1"/>
  <c r="N116" i="1"/>
  <c r="O116" i="1"/>
  <c r="P116" i="1"/>
  <c r="Q116" i="1"/>
  <c r="R116" i="1"/>
  <c r="S116" i="1"/>
  <c r="K117" i="1"/>
  <c r="L117" i="1"/>
  <c r="M117" i="1"/>
  <c r="N117" i="1"/>
  <c r="O117" i="1"/>
  <c r="P117" i="1"/>
  <c r="Q117" i="1"/>
  <c r="R117" i="1"/>
  <c r="S117" i="1"/>
  <c r="K118" i="1"/>
  <c r="L118" i="1"/>
  <c r="M118" i="1"/>
  <c r="N118" i="1"/>
  <c r="O118" i="1"/>
  <c r="P118" i="1"/>
  <c r="Q118" i="1"/>
  <c r="R118" i="1"/>
  <c r="S118" i="1"/>
  <c r="K119" i="1"/>
  <c r="L119" i="1"/>
  <c r="M119" i="1"/>
  <c r="N119" i="1"/>
  <c r="O119" i="1"/>
  <c r="P119" i="1"/>
  <c r="Q119" i="1"/>
  <c r="R119" i="1"/>
  <c r="S119" i="1"/>
  <c r="K120" i="1"/>
  <c r="L120" i="1"/>
  <c r="M120" i="1"/>
  <c r="N120" i="1"/>
  <c r="O120" i="1"/>
  <c r="P120" i="1"/>
  <c r="Q120" i="1"/>
  <c r="R120" i="1"/>
  <c r="S120" i="1"/>
  <c r="K121" i="1"/>
  <c r="L121" i="1"/>
  <c r="M121" i="1"/>
  <c r="N121" i="1"/>
  <c r="O121" i="1"/>
  <c r="P121" i="1"/>
  <c r="Q121" i="1"/>
  <c r="R121" i="1"/>
  <c r="S121" i="1"/>
  <c r="K122" i="1"/>
  <c r="L122" i="1"/>
  <c r="M122" i="1"/>
  <c r="N122" i="1"/>
  <c r="O122" i="1"/>
  <c r="P122" i="1"/>
  <c r="Q122" i="1"/>
  <c r="R122" i="1"/>
  <c r="S122" i="1"/>
  <c r="K123" i="1"/>
  <c r="L123" i="1"/>
  <c r="M123" i="1"/>
  <c r="N123" i="1"/>
  <c r="O123" i="1"/>
  <c r="P123" i="1"/>
  <c r="Q123" i="1"/>
  <c r="R123" i="1"/>
  <c r="S123" i="1"/>
  <c r="K124" i="1"/>
  <c r="L124" i="1"/>
  <c r="M124" i="1"/>
  <c r="N124" i="1"/>
  <c r="O124" i="1"/>
  <c r="P124" i="1"/>
  <c r="Q124" i="1"/>
  <c r="R124" i="1"/>
  <c r="S124" i="1"/>
  <c r="K125" i="1"/>
  <c r="L125" i="1"/>
  <c r="M125" i="1"/>
  <c r="N125" i="1"/>
  <c r="O125" i="1"/>
  <c r="P125" i="1"/>
  <c r="Q125" i="1"/>
  <c r="R125" i="1"/>
  <c r="S125" i="1"/>
  <c r="K126" i="1"/>
  <c r="L126" i="1"/>
  <c r="M126" i="1"/>
  <c r="N126" i="1"/>
  <c r="O126" i="1"/>
  <c r="P126" i="1"/>
  <c r="Q126" i="1"/>
  <c r="R126" i="1"/>
  <c r="S126" i="1"/>
  <c r="K127" i="1"/>
  <c r="L127" i="1"/>
  <c r="M127" i="1"/>
  <c r="N127" i="1"/>
  <c r="O127" i="1"/>
  <c r="P127" i="1"/>
  <c r="Q127" i="1"/>
  <c r="R127" i="1"/>
  <c r="S127" i="1"/>
  <c r="K128" i="1"/>
  <c r="L128" i="1"/>
  <c r="M128" i="1"/>
  <c r="N128" i="1"/>
  <c r="O128" i="1"/>
  <c r="P128" i="1"/>
  <c r="Q128" i="1"/>
  <c r="R128" i="1"/>
  <c r="S128" i="1"/>
  <c r="K129" i="1"/>
  <c r="L129" i="1"/>
  <c r="M129" i="1"/>
  <c r="N129" i="1"/>
  <c r="O129" i="1"/>
  <c r="P129" i="1"/>
  <c r="Q129" i="1"/>
  <c r="R129" i="1"/>
  <c r="S129" i="1"/>
  <c r="K130" i="1"/>
  <c r="L130" i="1"/>
  <c r="M130" i="1"/>
  <c r="N130" i="1"/>
  <c r="O130" i="1"/>
  <c r="P130" i="1"/>
  <c r="Q130" i="1"/>
  <c r="R130" i="1"/>
  <c r="S130" i="1"/>
  <c r="K131" i="1"/>
  <c r="L131" i="1"/>
  <c r="M131" i="1"/>
  <c r="N131" i="1"/>
  <c r="O131" i="1"/>
  <c r="P131" i="1"/>
  <c r="Q131" i="1"/>
  <c r="R131" i="1"/>
  <c r="S131" i="1"/>
  <c r="K132" i="1"/>
  <c r="L132" i="1"/>
  <c r="M132" i="1"/>
  <c r="N132" i="1"/>
  <c r="O132" i="1"/>
  <c r="P132" i="1"/>
  <c r="Q132" i="1"/>
  <c r="R132" i="1"/>
  <c r="S132" i="1"/>
  <c r="K133" i="1"/>
  <c r="L133" i="1"/>
  <c r="M133" i="1"/>
  <c r="N133" i="1"/>
  <c r="O133" i="1"/>
  <c r="P133" i="1"/>
  <c r="Q133" i="1"/>
  <c r="R133" i="1"/>
  <c r="S133" i="1"/>
  <c r="K134" i="1"/>
  <c r="L134" i="1"/>
  <c r="M134" i="1"/>
  <c r="N134" i="1"/>
  <c r="O134" i="1"/>
  <c r="P134" i="1"/>
  <c r="Q134" i="1"/>
  <c r="R134" i="1"/>
  <c r="S134" i="1"/>
  <c r="K135" i="1"/>
  <c r="L135" i="1"/>
  <c r="M135" i="1"/>
  <c r="N135" i="1"/>
  <c r="O135" i="1"/>
  <c r="P135" i="1"/>
  <c r="Q135" i="1"/>
  <c r="R135" i="1"/>
  <c r="S135" i="1"/>
  <c r="K136" i="1"/>
  <c r="L136" i="1"/>
  <c r="M136" i="1"/>
  <c r="N136" i="1"/>
  <c r="O136" i="1"/>
  <c r="P136" i="1"/>
  <c r="Q136" i="1"/>
  <c r="R136" i="1"/>
  <c r="S136" i="1"/>
  <c r="K137" i="1"/>
  <c r="L137" i="1"/>
  <c r="M137" i="1"/>
  <c r="N137" i="1"/>
  <c r="O137" i="1"/>
  <c r="P137" i="1"/>
  <c r="Q137" i="1"/>
  <c r="R137" i="1"/>
  <c r="S137" i="1"/>
  <c r="K138" i="1"/>
  <c r="L138" i="1"/>
  <c r="M138" i="1"/>
  <c r="N138" i="1"/>
  <c r="O138" i="1"/>
  <c r="P138" i="1"/>
  <c r="Q138" i="1"/>
  <c r="R138" i="1"/>
  <c r="S138" i="1"/>
  <c r="K139" i="1"/>
  <c r="L139" i="1"/>
  <c r="M139" i="1"/>
  <c r="N139" i="1"/>
  <c r="O139" i="1"/>
  <c r="P139" i="1"/>
  <c r="Q139" i="1"/>
  <c r="R139" i="1"/>
  <c r="S139" i="1"/>
  <c r="K140" i="1"/>
  <c r="L140" i="1"/>
  <c r="M140" i="1"/>
  <c r="N140" i="1"/>
  <c r="O140" i="1"/>
  <c r="P140" i="1"/>
  <c r="Q140" i="1"/>
  <c r="R140" i="1"/>
  <c r="S140" i="1"/>
  <c r="K141" i="1"/>
  <c r="L141" i="1"/>
  <c r="M141" i="1"/>
  <c r="N141" i="1"/>
  <c r="O141" i="1"/>
  <c r="P141" i="1"/>
  <c r="Q141" i="1"/>
  <c r="R141" i="1"/>
  <c r="S141" i="1"/>
  <c r="K142" i="1"/>
  <c r="L142" i="1"/>
  <c r="M142" i="1"/>
  <c r="N142" i="1"/>
  <c r="O142" i="1"/>
  <c r="P142" i="1"/>
  <c r="Q142" i="1"/>
  <c r="R142" i="1"/>
  <c r="S142" i="1"/>
  <c r="K143" i="1"/>
  <c r="L143" i="1"/>
  <c r="M143" i="1"/>
  <c r="N143" i="1"/>
  <c r="O143" i="1"/>
  <c r="P143" i="1"/>
  <c r="Q143" i="1"/>
  <c r="R143" i="1"/>
  <c r="S143" i="1"/>
  <c r="K144" i="1"/>
  <c r="L144" i="1"/>
  <c r="M144" i="1"/>
  <c r="N144" i="1"/>
  <c r="O144" i="1"/>
  <c r="P144" i="1"/>
  <c r="Q144" i="1"/>
  <c r="R144" i="1"/>
  <c r="S144" i="1"/>
  <c r="K145" i="1"/>
  <c r="L145" i="1"/>
  <c r="M145" i="1"/>
  <c r="N145" i="1"/>
  <c r="O145" i="1"/>
  <c r="P145" i="1"/>
  <c r="Q145" i="1"/>
  <c r="R145" i="1"/>
  <c r="S145" i="1"/>
  <c r="K146" i="1"/>
  <c r="L146" i="1"/>
  <c r="M146" i="1"/>
  <c r="N146" i="1"/>
  <c r="O146" i="1"/>
  <c r="P146" i="1"/>
  <c r="Q146" i="1"/>
  <c r="R146" i="1"/>
  <c r="S146" i="1"/>
  <c r="K147" i="1"/>
  <c r="L147" i="1"/>
  <c r="M147" i="1"/>
  <c r="N147" i="1"/>
  <c r="O147" i="1"/>
  <c r="P147" i="1"/>
  <c r="Q147" i="1"/>
  <c r="R147" i="1"/>
  <c r="S147" i="1"/>
  <c r="K148" i="1"/>
  <c r="L148" i="1"/>
  <c r="M148" i="1"/>
  <c r="N148" i="1"/>
  <c r="O148" i="1"/>
  <c r="P148" i="1"/>
  <c r="Q148" i="1"/>
  <c r="R148" i="1"/>
  <c r="S148" i="1"/>
  <c r="K149" i="1"/>
  <c r="L149" i="1"/>
  <c r="M149" i="1"/>
  <c r="N149" i="1"/>
  <c r="O149" i="1"/>
  <c r="P149" i="1"/>
  <c r="Q149" i="1"/>
  <c r="R149" i="1"/>
  <c r="S149" i="1"/>
  <c r="K150" i="1"/>
  <c r="L150" i="1"/>
  <c r="M150" i="1"/>
  <c r="N150" i="1"/>
  <c r="O150" i="1"/>
  <c r="P150" i="1"/>
  <c r="Q150" i="1"/>
  <c r="R150" i="1"/>
  <c r="S150" i="1"/>
  <c r="K151" i="1"/>
  <c r="L151" i="1"/>
  <c r="M151" i="1"/>
  <c r="N151" i="1"/>
  <c r="O151" i="1"/>
  <c r="P151" i="1"/>
  <c r="Q151" i="1"/>
  <c r="R151" i="1"/>
  <c r="S151" i="1"/>
  <c r="K152" i="1"/>
  <c r="L152" i="1"/>
  <c r="M152" i="1"/>
  <c r="N152" i="1"/>
  <c r="O152" i="1"/>
  <c r="P152" i="1"/>
  <c r="Q152" i="1"/>
  <c r="R152" i="1"/>
  <c r="S152" i="1"/>
  <c r="K153" i="1"/>
  <c r="L153" i="1"/>
  <c r="M153" i="1"/>
  <c r="N153" i="1"/>
  <c r="O153" i="1"/>
  <c r="P153" i="1"/>
  <c r="Q153" i="1"/>
  <c r="R153" i="1"/>
  <c r="S153" i="1"/>
  <c r="K154" i="1"/>
  <c r="L154" i="1"/>
  <c r="M154" i="1"/>
  <c r="N154" i="1"/>
  <c r="O154" i="1"/>
  <c r="P154" i="1"/>
  <c r="Q154" i="1"/>
  <c r="R154" i="1"/>
  <c r="S154" i="1"/>
  <c r="K155" i="1"/>
  <c r="L155" i="1"/>
  <c r="M155" i="1"/>
  <c r="N155" i="1"/>
  <c r="O155" i="1"/>
  <c r="P155" i="1"/>
  <c r="Q155" i="1"/>
  <c r="R155" i="1"/>
  <c r="S155" i="1"/>
  <c r="K156" i="1"/>
  <c r="L156" i="1"/>
  <c r="M156" i="1"/>
  <c r="N156" i="1"/>
  <c r="O156" i="1"/>
  <c r="P156" i="1"/>
  <c r="Q156" i="1"/>
  <c r="R156" i="1"/>
  <c r="S156" i="1"/>
  <c r="K157" i="1"/>
  <c r="L157" i="1"/>
  <c r="M157" i="1"/>
  <c r="N157" i="1"/>
  <c r="O157" i="1"/>
  <c r="P157" i="1"/>
  <c r="Q157" i="1"/>
  <c r="R157" i="1"/>
  <c r="S157" i="1"/>
  <c r="K158" i="1"/>
  <c r="L158" i="1"/>
  <c r="M158" i="1"/>
  <c r="N158" i="1"/>
  <c r="O158" i="1"/>
  <c r="P158" i="1"/>
  <c r="Q158" i="1"/>
  <c r="R158" i="1"/>
  <c r="S158" i="1"/>
  <c r="K159" i="1"/>
  <c r="L159" i="1"/>
  <c r="M159" i="1"/>
  <c r="N159" i="1"/>
  <c r="O159" i="1"/>
  <c r="P159" i="1"/>
  <c r="Q159" i="1"/>
  <c r="R159" i="1"/>
  <c r="S159" i="1"/>
  <c r="K160" i="1"/>
  <c r="L160" i="1"/>
  <c r="M160" i="1"/>
  <c r="N160" i="1"/>
  <c r="O160" i="1"/>
  <c r="P160" i="1"/>
  <c r="Q160" i="1"/>
  <c r="R160" i="1"/>
  <c r="S160" i="1"/>
  <c r="K161" i="1"/>
  <c r="L161" i="1"/>
  <c r="M161" i="1"/>
  <c r="N161" i="1"/>
  <c r="O161" i="1"/>
  <c r="P161" i="1"/>
  <c r="Q161" i="1"/>
  <c r="R161" i="1"/>
  <c r="S161" i="1"/>
  <c r="K162" i="1"/>
  <c r="L162" i="1"/>
  <c r="M162" i="1"/>
  <c r="N162" i="1"/>
  <c r="O162" i="1"/>
  <c r="P162" i="1"/>
  <c r="Q162" i="1"/>
  <c r="R162" i="1"/>
  <c r="S162" i="1"/>
  <c r="K163" i="1"/>
  <c r="L163" i="1"/>
  <c r="M163" i="1"/>
  <c r="N163" i="1"/>
  <c r="O163" i="1"/>
  <c r="P163" i="1"/>
  <c r="Q163" i="1"/>
  <c r="R163" i="1"/>
  <c r="S163" i="1"/>
  <c r="K164" i="1"/>
  <c r="L164" i="1"/>
  <c r="M164" i="1"/>
  <c r="N164" i="1"/>
  <c r="O164" i="1"/>
  <c r="P164" i="1"/>
  <c r="Q164" i="1"/>
  <c r="R164" i="1"/>
  <c r="S164" i="1"/>
  <c r="K165" i="1"/>
  <c r="L165" i="1"/>
  <c r="M165" i="1"/>
  <c r="N165" i="1"/>
  <c r="O165" i="1"/>
  <c r="P165" i="1"/>
  <c r="Q165" i="1"/>
  <c r="R165" i="1"/>
  <c r="S165" i="1"/>
  <c r="K166" i="1"/>
  <c r="L166" i="1"/>
  <c r="M166" i="1"/>
  <c r="N166" i="1"/>
  <c r="O166" i="1"/>
  <c r="P166" i="1"/>
  <c r="Q166" i="1"/>
  <c r="R166" i="1"/>
  <c r="S166" i="1"/>
  <c r="K167" i="1"/>
  <c r="L167" i="1"/>
  <c r="M167" i="1"/>
  <c r="N167" i="1"/>
  <c r="O167" i="1"/>
  <c r="P167" i="1"/>
  <c r="Q167" i="1"/>
  <c r="R167" i="1"/>
  <c r="S167" i="1"/>
  <c r="K168" i="1"/>
  <c r="L168" i="1"/>
  <c r="M168" i="1"/>
  <c r="N168" i="1"/>
  <c r="O168" i="1"/>
  <c r="P168" i="1"/>
  <c r="Q168" i="1"/>
  <c r="R168" i="1"/>
  <c r="S168" i="1"/>
  <c r="K169" i="1"/>
  <c r="L169" i="1"/>
  <c r="M169" i="1"/>
  <c r="N169" i="1"/>
  <c r="O169" i="1"/>
  <c r="P169" i="1"/>
  <c r="Q169" i="1"/>
  <c r="R169" i="1"/>
  <c r="S169" i="1"/>
  <c r="K170" i="1"/>
  <c r="L170" i="1"/>
  <c r="M170" i="1"/>
  <c r="N170" i="1"/>
  <c r="O170" i="1"/>
  <c r="P170" i="1"/>
  <c r="Q170" i="1"/>
  <c r="R170" i="1"/>
  <c r="S170" i="1"/>
  <c r="K171" i="1"/>
  <c r="L171" i="1"/>
  <c r="M171" i="1"/>
  <c r="N171" i="1"/>
  <c r="O171" i="1"/>
  <c r="P171" i="1"/>
  <c r="Q171" i="1"/>
  <c r="R171" i="1"/>
  <c r="S171" i="1"/>
  <c r="K172" i="1"/>
  <c r="L172" i="1"/>
  <c r="M172" i="1"/>
  <c r="N172" i="1"/>
  <c r="O172" i="1"/>
  <c r="P172" i="1"/>
  <c r="Q172" i="1"/>
  <c r="R172" i="1"/>
  <c r="S172" i="1"/>
  <c r="K173" i="1"/>
  <c r="L173" i="1"/>
  <c r="M173" i="1"/>
  <c r="N173" i="1"/>
  <c r="O173" i="1"/>
  <c r="P173" i="1"/>
  <c r="Q173" i="1"/>
  <c r="R173" i="1"/>
  <c r="S173" i="1"/>
  <c r="K174" i="1"/>
  <c r="L174" i="1"/>
  <c r="M174" i="1"/>
  <c r="N174" i="1"/>
  <c r="O174" i="1"/>
  <c r="P174" i="1"/>
  <c r="Q174" i="1"/>
  <c r="R174" i="1"/>
  <c r="S174" i="1"/>
  <c r="K175" i="1"/>
  <c r="L175" i="1"/>
  <c r="M175" i="1"/>
  <c r="N175" i="1"/>
  <c r="O175" i="1"/>
  <c r="P175" i="1"/>
  <c r="Q175" i="1"/>
  <c r="R175" i="1"/>
  <c r="S175" i="1"/>
  <c r="K176" i="1"/>
  <c r="L176" i="1"/>
  <c r="M176" i="1"/>
  <c r="N176" i="1"/>
  <c r="O176" i="1"/>
  <c r="P176" i="1"/>
  <c r="Q176" i="1"/>
  <c r="R176" i="1"/>
  <c r="S176" i="1"/>
  <c r="K177" i="1"/>
  <c r="L177" i="1"/>
  <c r="M177" i="1"/>
  <c r="N177" i="1"/>
  <c r="O177" i="1"/>
  <c r="P177" i="1"/>
  <c r="Q177" i="1"/>
  <c r="R177" i="1"/>
  <c r="S177" i="1"/>
  <c r="K178" i="1"/>
  <c r="L178" i="1"/>
  <c r="M178" i="1"/>
  <c r="N178" i="1"/>
  <c r="O178" i="1"/>
  <c r="P178" i="1"/>
  <c r="Q178" i="1"/>
  <c r="R178" i="1"/>
  <c r="S178" i="1"/>
  <c r="K179" i="1"/>
  <c r="L179" i="1"/>
  <c r="M179" i="1"/>
  <c r="N179" i="1"/>
  <c r="O179" i="1"/>
  <c r="P179" i="1"/>
  <c r="Q179" i="1"/>
  <c r="R179" i="1"/>
  <c r="S179" i="1"/>
  <c r="K180" i="1"/>
  <c r="L180" i="1"/>
  <c r="M180" i="1"/>
  <c r="N180" i="1"/>
  <c r="O180" i="1"/>
  <c r="P180" i="1"/>
  <c r="Q180" i="1"/>
  <c r="R180" i="1"/>
  <c r="S180" i="1"/>
  <c r="K181" i="1"/>
  <c r="L181" i="1"/>
  <c r="M181" i="1"/>
  <c r="N181" i="1"/>
  <c r="O181" i="1"/>
  <c r="P181" i="1"/>
  <c r="Q181" i="1"/>
  <c r="R181" i="1"/>
  <c r="S181" i="1"/>
  <c r="K182" i="1"/>
  <c r="L182" i="1"/>
  <c r="M182" i="1"/>
  <c r="N182" i="1"/>
  <c r="O182" i="1"/>
  <c r="P182" i="1"/>
  <c r="Q182" i="1"/>
  <c r="R182" i="1"/>
  <c r="S182" i="1"/>
  <c r="K183" i="1"/>
  <c r="L183" i="1"/>
  <c r="M183" i="1"/>
  <c r="N183" i="1"/>
  <c r="O183" i="1"/>
  <c r="P183" i="1"/>
  <c r="Q183" i="1"/>
  <c r="R183" i="1"/>
  <c r="S183" i="1"/>
  <c r="K184" i="1"/>
  <c r="L184" i="1"/>
  <c r="M184" i="1"/>
  <c r="N184" i="1"/>
  <c r="O184" i="1"/>
  <c r="P184" i="1"/>
  <c r="Q184" i="1"/>
  <c r="R184" i="1"/>
  <c r="S184" i="1"/>
  <c r="K185" i="1"/>
  <c r="L185" i="1"/>
  <c r="M185" i="1"/>
  <c r="N185" i="1"/>
  <c r="O185" i="1"/>
  <c r="P185" i="1"/>
  <c r="Q185" i="1"/>
  <c r="R185" i="1"/>
  <c r="S185" i="1"/>
  <c r="K186" i="1"/>
  <c r="L186" i="1"/>
  <c r="M186" i="1"/>
  <c r="N186" i="1"/>
  <c r="O186" i="1"/>
  <c r="P186" i="1"/>
  <c r="Q186" i="1"/>
  <c r="R186" i="1"/>
  <c r="S186" i="1"/>
  <c r="K187" i="1"/>
  <c r="L187" i="1"/>
  <c r="M187" i="1"/>
  <c r="N187" i="1"/>
  <c r="O187" i="1"/>
  <c r="P187" i="1"/>
  <c r="Q187" i="1"/>
  <c r="R187" i="1"/>
  <c r="S187" i="1"/>
  <c r="K188" i="1"/>
  <c r="L188" i="1"/>
  <c r="M188" i="1"/>
  <c r="N188" i="1"/>
  <c r="O188" i="1"/>
  <c r="P188" i="1"/>
  <c r="Q188" i="1"/>
  <c r="R188" i="1"/>
  <c r="S188" i="1"/>
  <c r="K189" i="1"/>
  <c r="L189" i="1"/>
  <c r="M189" i="1"/>
  <c r="N189" i="1"/>
  <c r="O189" i="1"/>
  <c r="P189" i="1"/>
  <c r="Q189" i="1"/>
  <c r="R189" i="1"/>
  <c r="S189" i="1"/>
  <c r="K190" i="1"/>
  <c r="L190" i="1"/>
  <c r="M190" i="1"/>
  <c r="N190" i="1"/>
  <c r="O190" i="1"/>
  <c r="P190" i="1"/>
  <c r="Q190" i="1"/>
  <c r="R190" i="1"/>
  <c r="S190" i="1"/>
  <c r="K191" i="1"/>
  <c r="L191" i="1"/>
  <c r="M191" i="1"/>
  <c r="N191" i="1"/>
  <c r="O191" i="1"/>
  <c r="P191" i="1"/>
  <c r="Q191" i="1"/>
  <c r="R191" i="1"/>
  <c r="S191" i="1"/>
  <c r="K192" i="1"/>
  <c r="L192" i="1"/>
  <c r="M192" i="1"/>
  <c r="N192" i="1"/>
  <c r="O192" i="1"/>
  <c r="P192" i="1"/>
  <c r="Q192" i="1"/>
  <c r="R192" i="1"/>
  <c r="S192" i="1"/>
  <c r="K193" i="1"/>
  <c r="L193" i="1"/>
  <c r="M193" i="1"/>
  <c r="N193" i="1"/>
  <c r="O193" i="1"/>
  <c r="P193" i="1"/>
  <c r="Q193" i="1"/>
  <c r="R193" i="1"/>
  <c r="S193" i="1"/>
  <c r="K194" i="1"/>
  <c r="L194" i="1"/>
  <c r="M194" i="1"/>
  <c r="N194" i="1"/>
  <c r="O194" i="1"/>
  <c r="P194" i="1"/>
  <c r="Q194" i="1"/>
  <c r="R194" i="1"/>
  <c r="S194" i="1"/>
  <c r="K195" i="1"/>
  <c r="L195" i="1"/>
  <c r="M195" i="1"/>
  <c r="N195" i="1"/>
  <c r="O195" i="1"/>
  <c r="P195" i="1"/>
  <c r="Q195" i="1"/>
  <c r="R195" i="1"/>
  <c r="S195" i="1"/>
  <c r="K196" i="1"/>
  <c r="L196" i="1"/>
  <c r="M196" i="1"/>
  <c r="N196" i="1"/>
  <c r="O196" i="1"/>
  <c r="P196" i="1"/>
  <c r="Q196" i="1"/>
  <c r="R196" i="1"/>
  <c r="S196" i="1"/>
  <c r="K197" i="1"/>
  <c r="L197" i="1"/>
  <c r="M197" i="1"/>
  <c r="N197" i="1"/>
  <c r="O197" i="1"/>
  <c r="P197" i="1"/>
  <c r="Q197" i="1"/>
  <c r="R197" i="1"/>
  <c r="S197" i="1"/>
  <c r="K198" i="1"/>
  <c r="L198" i="1"/>
  <c r="M198" i="1"/>
  <c r="N198" i="1"/>
  <c r="O198" i="1"/>
  <c r="P198" i="1"/>
  <c r="Q198" i="1"/>
  <c r="R198" i="1"/>
  <c r="S198" i="1"/>
  <c r="K199" i="1"/>
  <c r="L199" i="1"/>
  <c r="M199" i="1"/>
  <c r="N199" i="1"/>
  <c r="O199" i="1"/>
  <c r="P199" i="1"/>
  <c r="Q199" i="1"/>
  <c r="R199" i="1"/>
  <c r="S199" i="1"/>
  <c r="K200" i="1"/>
  <c r="L200" i="1"/>
  <c r="M200" i="1"/>
  <c r="N200" i="1"/>
  <c r="O200" i="1"/>
  <c r="P200" i="1"/>
  <c r="Q200" i="1"/>
  <c r="R200" i="1"/>
  <c r="S200" i="1"/>
  <c r="K201" i="1"/>
  <c r="L201" i="1"/>
  <c r="M201" i="1"/>
  <c r="N201" i="1"/>
  <c r="O201" i="1"/>
  <c r="P201" i="1"/>
  <c r="Q201" i="1"/>
  <c r="R201" i="1"/>
  <c r="S201" i="1"/>
  <c r="K202" i="1"/>
  <c r="L202" i="1"/>
  <c r="M202" i="1"/>
  <c r="N202" i="1"/>
  <c r="O202" i="1"/>
  <c r="P202" i="1"/>
  <c r="Q202" i="1"/>
  <c r="R202" i="1"/>
  <c r="S202" i="1"/>
  <c r="K203" i="1"/>
  <c r="L203" i="1"/>
  <c r="M203" i="1"/>
  <c r="N203" i="1"/>
  <c r="O203" i="1"/>
  <c r="P203" i="1"/>
  <c r="Q203" i="1"/>
  <c r="R203" i="1"/>
  <c r="S203" i="1"/>
  <c r="K204" i="1"/>
  <c r="L204" i="1"/>
  <c r="M204" i="1"/>
  <c r="N204" i="1"/>
  <c r="O204" i="1"/>
  <c r="P204" i="1"/>
  <c r="Q204" i="1"/>
  <c r="R204" i="1"/>
  <c r="S204" i="1"/>
  <c r="K205" i="1"/>
  <c r="L205" i="1"/>
  <c r="M205" i="1"/>
  <c r="N205" i="1"/>
  <c r="O205" i="1"/>
  <c r="P205" i="1"/>
  <c r="Q205" i="1"/>
  <c r="R205" i="1"/>
  <c r="S205" i="1"/>
  <c r="K206" i="1"/>
  <c r="L206" i="1"/>
  <c r="M206" i="1"/>
  <c r="N206" i="1"/>
  <c r="O206" i="1"/>
  <c r="P206" i="1"/>
  <c r="Q206" i="1"/>
  <c r="R206" i="1"/>
  <c r="S206" i="1"/>
  <c r="K207" i="1"/>
  <c r="L207" i="1"/>
  <c r="M207" i="1"/>
  <c r="N207" i="1"/>
  <c r="O207" i="1"/>
  <c r="P207" i="1"/>
  <c r="Q207" i="1"/>
  <c r="R207" i="1"/>
  <c r="S207" i="1"/>
  <c r="K208" i="1"/>
  <c r="L208" i="1"/>
  <c r="M208" i="1"/>
  <c r="N208" i="1"/>
  <c r="O208" i="1"/>
  <c r="P208" i="1"/>
  <c r="Q208" i="1"/>
  <c r="R208" i="1"/>
  <c r="S208" i="1"/>
  <c r="K209" i="1"/>
  <c r="L209" i="1"/>
  <c r="M209" i="1"/>
  <c r="N209" i="1"/>
  <c r="O209" i="1"/>
  <c r="P209" i="1"/>
  <c r="Q209" i="1"/>
  <c r="R209" i="1"/>
  <c r="S209" i="1"/>
  <c r="K210" i="1"/>
  <c r="L210" i="1"/>
  <c r="M210" i="1"/>
  <c r="N210" i="1"/>
  <c r="O210" i="1"/>
  <c r="P210" i="1"/>
  <c r="Q210" i="1"/>
  <c r="R210" i="1"/>
  <c r="S210" i="1"/>
  <c r="K211" i="1"/>
  <c r="L211" i="1"/>
  <c r="M211" i="1"/>
  <c r="N211" i="1"/>
  <c r="O211" i="1"/>
  <c r="P211" i="1"/>
  <c r="Q211" i="1"/>
  <c r="R211" i="1"/>
  <c r="S211" i="1"/>
  <c r="K212" i="1"/>
  <c r="L212" i="1"/>
  <c r="M212" i="1"/>
  <c r="N212" i="1"/>
  <c r="O212" i="1"/>
  <c r="P212" i="1"/>
  <c r="Q212" i="1"/>
  <c r="R212" i="1"/>
  <c r="S212" i="1"/>
  <c r="K213" i="1"/>
  <c r="L213" i="1"/>
  <c r="M213" i="1"/>
  <c r="N213" i="1"/>
  <c r="O213" i="1"/>
  <c r="P213" i="1"/>
  <c r="Q213" i="1"/>
  <c r="R213" i="1"/>
  <c r="S213" i="1"/>
  <c r="K214" i="1"/>
  <c r="L214" i="1"/>
  <c r="M214" i="1"/>
  <c r="N214" i="1"/>
  <c r="O214" i="1"/>
  <c r="P214" i="1"/>
  <c r="Q214" i="1"/>
  <c r="R214" i="1"/>
  <c r="S214" i="1"/>
  <c r="K215" i="1"/>
  <c r="L215" i="1"/>
  <c r="M215" i="1"/>
  <c r="N215" i="1"/>
  <c r="O215" i="1"/>
  <c r="P215" i="1"/>
  <c r="Q215" i="1"/>
  <c r="R215" i="1"/>
  <c r="S215" i="1"/>
  <c r="K216" i="1"/>
  <c r="L216" i="1"/>
  <c r="M216" i="1"/>
  <c r="N216" i="1"/>
  <c r="O216" i="1"/>
  <c r="P216" i="1"/>
  <c r="Q216" i="1"/>
  <c r="R216" i="1"/>
  <c r="S216" i="1"/>
  <c r="K217" i="1"/>
  <c r="L217" i="1"/>
  <c r="M217" i="1"/>
  <c r="N217" i="1"/>
  <c r="O217" i="1"/>
  <c r="P217" i="1"/>
  <c r="Q217" i="1"/>
  <c r="R217" i="1"/>
  <c r="S217" i="1"/>
  <c r="K218" i="1"/>
  <c r="L218" i="1"/>
  <c r="M218" i="1"/>
  <c r="N218" i="1"/>
  <c r="O218" i="1"/>
  <c r="P218" i="1"/>
  <c r="Q218" i="1"/>
  <c r="R218" i="1"/>
  <c r="S218" i="1"/>
  <c r="K219" i="1"/>
  <c r="L219" i="1"/>
  <c r="M219" i="1"/>
  <c r="N219" i="1"/>
  <c r="O219" i="1"/>
  <c r="P219" i="1"/>
  <c r="Q219" i="1"/>
  <c r="R219" i="1"/>
  <c r="S219" i="1"/>
  <c r="K220" i="1"/>
  <c r="L220" i="1"/>
  <c r="M220" i="1"/>
  <c r="N220" i="1"/>
  <c r="O220" i="1"/>
  <c r="P220" i="1"/>
  <c r="Q220" i="1"/>
  <c r="R220" i="1"/>
  <c r="S220" i="1"/>
  <c r="K221" i="1"/>
  <c r="L221" i="1"/>
  <c r="M221" i="1"/>
  <c r="N221" i="1"/>
  <c r="O221" i="1"/>
  <c r="P221" i="1"/>
  <c r="Q221" i="1"/>
  <c r="R221" i="1"/>
  <c r="S221" i="1"/>
  <c r="K222" i="1"/>
  <c r="L222" i="1"/>
  <c r="M222" i="1"/>
  <c r="N222" i="1"/>
  <c r="O222" i="1"/>
  <c r="P222" i="1"/>
  <c r="Q222" i="1"/>
  <c r="R222" i="1"/>
  <c r="S222" i="1"/>
  <c r="K223" i="1"/>
  <c r="L223" i="1"/>
  <c r="M223" i="1"/>
  <c r="N223" i="1"/>
  <c r="O223" i="1"/>
  <c r="P223" i="1"/>
  <c r="Q223" i="1"/>
  <c r="R223" i="1"/>
  <c r="S223" i="1"/>
  <c r="K224" i="1"/>
  <c r="L224" i="1"/>
  <c r="M224" i="1"/>
  <c r="N224" i="1"/>
  <c r="O224" i="1"/>
  <c r="P224" i="1"/>
  <c r="Q224" i="1"/>
  <c r="R224" i="1"/>
  <c r="S224" i="1"/>
  <c r="K225" i="1"/>
  <c r="L225" i="1"/>
  <c r="M225" i="1"/>
  <c r="N225" i="1"/>
  <c r="O225" i="1"/>
  <c r="P225" i="1"/>
  <c r="Q225" i="1"/>
  <c r="R225" i="1"/>
  <c r="S225" i="1"/>
  <c r="K226" i="1"/>
  <c r="L226" i="1"/>
  <c r="M226" i="1"/>
  <c r="N226" i="1"/>
  <c r="O226" i="1"/>
  <c r="P226" i="1"/>
  <c r="Q226" i="1"/>
  <c r="R226" i="1"/>
  <c r="S226" i="1"/>
  <c r="K227" i="1"/>
  <c r="L227" i="1"/>
  <c r="M227" i="1"/>
  <c r="N227" i="1"/>
  <c r="O227" i="1"/>
  <c r="P227" i="1"/>
  <c r="Q227" i="1"/>
  <c r="R227" i="1"/>
  <c r="S227" i="1"/>
  <c r="K228" i="1"/>
  <c r="L228" i="1"/>
  <c r="M228" i="1"/>
  <c r="N228" i="1"/>
  <c r="O228" i="1"/>
  <c r="P228" i="1"/>
  <c r="Q228" i="1"/>
  <c r="R228" i="1"/>
  <c r="S228" i="1"/>
  <c r="K229" i="1"/>
  <c r="L229" i="1"/>
  <c r="M229" i="1"/>
  <c r="N229" i="1"/>
  <c r="O229" i="1"/>
  <c r="P229" i="1"/>
  <c r="Q229" i="1"/>
  <c r="R229" i="1"/>
  <c r="S229" i="1"/>
  <c r="K230" i="1"/>
  <c r="L230" i="1"/>
  <c r="M230" i="1"/>
  <c r="N230" i="1"/>
  <c r="O230" i="1"/>
  <c r="P230" i="1"/>
  <c r="Q230" i="1"/>
  <c r="R230" i="1"/>
  <c r="S230" i="1"/>
  <c r="K231" i="1"/>
  <c r="L231" i="1"/>
  <c r="M231" i="1"/>
  <c r="N231" i="1"/>
  <c r="O231" i="1"/>
  <c r="P231" i="1"/>
  <c r="Q231" i="1"/>
  <c r="R231" i="1"/>
  <c r="S231" i="1"/>
  <c r="K232" i="1"/>
  <c r="L232" i="1"/>
  <c r="M232" i="1"/>
  <c r="N232" i="1"/>
  <c r="O232" i="1"/>
  <c r="P232" i="1"/>
  <c r="Q232" i="1"/>
  <c r="R232" i="1"/>
  <c r="S232" i="1"/>
  <c r="K233" i="1"/>
  <c r="L233" i="1"/>
  <c r="M233" i="1"/>
  <c r="N233" i="1"/>
  <c r="O233" i="1"/>
  <c r="P233" i="1"/>
  <c r="Q233" i="1"/>
  <c r="R233" i="1"/>
  <c r="S233" i="1"/>
  <c r="K234" i="1"/>
  <c r="L234" i="1"/>
  <c r="M234" i="1"/>
  <c r="N234" i="1"/>
  <c r="O234" i="1"/>
  <c r="P234" i="1"/>
  <c r="Q234" i="1"/>
  <c r="R234" i="1"/>
  <c r="S234" i="1"/>
  <c r="K235" i="1"/>
  <c r="L235" i="1"/>
  <c r="M235" i="1"/>
  <c r="N235" i="1"/>
  <c r="O235" i="1"/>
  <c r="P235" i="1"/>
  <c r="Q235" i="1"/>
  <c r="R235" i="1"/>
  <c r="S235" i="1"/>
  <c r="K236" i="1"/>
  <c r="L236" i="1"/>
  <c r="M236" i="1"/>
  <c r="N236" i="1"/>
  <c r="O236" i="1"/>
  <c r="P236" i="1"/>
  <c r="Q236" i="1"/>
  <c r="R236" i="1"/>
  <c r="S236" i="1"/>
  <c r="K237" i="1"/>
  <c r="L237" i="1"/>
  <c r="M237" i="1"/>
  <c r="N237" i="1"/>
  <c r="O237" i="1"/>
  <c r="P237" i="1"/>
  <c r="Q237" i="1"/>
  <c r="R237" i="1"/>
  <c r="S237" i="1"/>
  <c r="K238" i="1"/>
  <c r="L238" i="1"/>
  <c r="M238" i="1"/>
  <c r="N238" i="1"/>
  <c r="O238" i="1"/>
  <c r="P238" i="1"/>
  <c r="Q238" i="1"/>
  <c r="R238" i="1"/>
  <c r="S238" i="1"/>
  <c r="K239" i="1"/>
  <c r="L239" i="1"/>
  <c r="M239" i="1"/>
  <c r="N239" i="1"/>
  <c r="O239" i="1"/>
  <c r="P239" i="1"/>
  <c r="Q239" i="1"/>
  <c r="R239" i="1"/>
  <c r="S239" i="1"/>
  <c r="K240" i="1"/>
  <c r="L240" i="1"/>
  <c r="M240" i="1"/>
  <c r="N240" i="1"/>
  <c r="O240" i="1"/>
  <c r="P240" i="1"/>
  <c r="Q240" i="1"/>
  <c r="R240" i="1"/>
  <c r="S240" i="1"/>
  <c r="K241" i="1"/>
  <c r="L241" i="1"/>
  <c r="M241" i="1"/>
  <c r="N241" i="1"/>
  <c r="O241" i="1"/>
  <c r="P241" i="1"/>
  <c r="Q241" i="1"/>
  <c r="R241" i="1"/>
  <c r="S241" i="1"/>
  <c r="K242" i="1"/>
  <c r="L242" i="1"/>
  <c r="M242" i="1"/>
  <c r="N242" i="1"/>
  <c r="O242" i="1"/>
  <c r="P242" i="1"/>
  <c r="Q242" i="1"/>
  <c r="R242" i="1"/>
  <c r="S242" i="1"/>
  <c r="K243" i="1"/>
  <c r="L243" i="1"/>
  <c r="M243" i="1"/>
  <c r="N243" i="1"/>
  <c r="O243" i="1"/>
  <c r="P243" i="1"/>
  <c r="Q243" i="1"/>
  <c r="R243" i="1"/>
  <c r="S243" i="1"/>
  <c r="K244" i="1"/>
  <c r="L244" i="1"/>
  <c r="M244" i="1"/>
  <c r="N244" i="1"/>
  <c r="O244" i="1"/>
  <c r="P244" i="1"/>
  <c r="Q244" i="1"/>
  <c r="R244" i="1"/>
  <c r="S244" i="1"/>
  <c r="K245" i="1"/>
  <c r="L245" i="1"/>
  <c r="M245" i="1"/>
  <c r="N245" i="1"/>
  <c r="O245" i="1"/>
  <c r="P245" i="1"/>
  <c r="Q245" i="1"/>
  <c r="R245" i="1"/>
  <c r="S245" i="1"/>
  <c r="K246" i="1"/>
  <c r="L246" i="1"/>
  <c r="M246" i="1"/>
  <c r="N246" i="1"/>
  <c r="O246" i="1"/>
  <c r="P246" i="1"/>
  <c r="Q246" i="1"/>
  <c r="R246" i="1"/>
  <c r="S246" i="1"/>
  <c r="K247" i="1"/>
  <c r="L247" i="1"/>
  <c r="M247" i="1"/>
  <c r="N247" i="1"/>
  <c r="O247" i="1"/>
  <c r="P247" i="1"/>
  <c r="Q247" i="1"/>
  <c r="R247" i="1"/>
  <c r="S247" i="1"/>
  <c r="K248" i="1"/>
  <c r="L248" i="1"/>
  <c r="M248" i="1"/>
  <c r="N248" i="1"/>
  <c r="O248" i="1"/>
  <c r="P248" i="1"/>
  <c r="Q248" i="1"/>
  <c r="R248" i="1"/>
  <c r="S248" i="1"/>
  <c r="K249" i="1"/>
  <c r="L249" i="1"/>
  <c r="M249" i="1"/>
  <c r="N249" i="1"/>
  <c r="O249" i="1"/>
  <c r="P249" i="1"/>
  <c r="Q249" i="1"/>
  <c r="R249" i="1"/>
  <c r="S249" i="1"/>
  <c r="K250" i="1"/>
  <c r="L250" i="1"/>
  <c r="M250" i="1"/>
  <c r="N250" i="1"/>
  <c r="O250" i="1"/>
  <c r="P250" i="1"/>
  <c r="Q250" i="1"/>
  <c r="R250" i="1"/>
  <c r="S250" i="1"/>
  <c r="K251" i="1"/>
  <c r="L251" i="1"/>
  <c r="M251" i="1"/>
  <c r="N251" i="1"/>
  <c r="O251" i="1"/>
  <c r="P251" i="1"/>
  <c r="Q251" i="1"/>
  <c r="R251" i="1"/>
  <c r="S251" i="1"/>
  <c r="K252" i="1"/>
  <c r="L252" i="1"/>
  <c r="M252" i="1"/>
  <c r="N252" i="1"/>
  <c r="O252" i="1"/>
  <c r="P252" i="1"/>
  <c r="Q252" i="1"/>
  <c r="R252" i="1"/>
  <c r="S252" i="1"/>
  <c r="K253" i="1"/>
  <c r="L253" i="1"/>
  <c r="M253" i="1"/>
  <c r="N253" i="1"/>
  <c r="O253" i="1"/>
  <c r="P253" i="1"/>
  <c r="Q253" i="1"/>
  <c r="R253" i="1"/>
  <c r="S253" i="1"/>
  <c r="K254" i="1"/>
  <c r="L254" i="1"/>
  <c r="M254" i="1"/>
  <c r="N254" i="1"/>
  <c r="O254" i="1"/>
  <c r="P254" i="1"/>
  <c r="Q254" i="1"/>
  <c r="R254" i="1"/>
  <c r="S254" i="1"/>
  <c r="K255" i="1"/>
  <c r="L255" i="1"/>
  <c r="M255" i="1"/>
  <c r="N255" i="1"/>
  <c r="O255" i="1"/>
  <c r="P255" i="1"/>
  <c r="Q255" i="1"/>
  <c r="R255" i="1"/>
  <c r="S255" i="1"/>
  <c r="K256" i="1"/>
  <c r="L256" i="1"/>
  <c r="M256" i="1"/>
  <c r="N256" i="1"/>
  <c r="O256" i="1"/>
  <c r="P256" i="1"/>
  <c r="Q256" i="1"/>
  <c r="R256" i="1"/>
  <c r="S256" i="1"/>
  <c r="K257" i="1"/>
  <c r="L257" i="1"/>
  <c r="M257" i="1"/>
  <c r="N257" i="1"/>
  <c r="O257" i="1"/>
  <c r="P257" i="1"/>
  <c r="Q257" i="1"/>
  <c r="R257" i="1"/>
  <c r="S257" i="1"/>
  <c r="K258" i="1"/>
  <c r="L258" i="1"/>
  <c r="M258" i="1"/>
  <c r="N258" i="1"/>
  <c r="O258" i="1"/>
  <c r="P258" i="1"/>
  <c r="Q258" i="1"/>
  <c r="R258" i="1"/>
  <c r="S258" i="1"/>
  <c r="K259" i="1"/>
  <c r="L259" i="1"/>
  <c r="M259" i="1"/>
  <c r="N259" i="1"/>
  <c r="O259" i="1"/>
  <c r="P259" i="1"/>
  <c r="Q259" i="1"/>
  <c r="R259" i="1"/>
  <c r="S259" i="1"/>
  <c r="K260" i="1"/>
  <c r="L260" i="1"/>
  <c r="M260" i="1"/>
  <c r="N260" i="1"/>
  <c r="O260" i="1"/>
  <c r="P260" i="1"/>
  <c r="Q260" i="1"/>
  <c r="R260" i="1"/>
  <c r="S260" i="1"/>
  <c r="K261" i="1"/>
  <c r="L261" i="1"/>
  <c r="M261" i="1"/>
  <c r="N261" i="1"/>
  <c r="O261" i="1"/>
  <c r="P261" i="1"/>
  <c r="Q261" i="1"/>
  <c r="R261" i="1"/>
  <c r="S261" i="1"/>
  <c r="K262" i="1"/>
  <c r="L262" i="1"/>
  <c r="M262" i="1"/>
  <c r="N262" i="1"/>
  <c r="O262" i="1"/>
  <c r="P262" i="1"/>
  <c r="Q262" i="1"/>
  <c r="R262" i="1"/>
  <c r="S262" i="1"/>
  <c r="K263" i="1"/>
  <c r="L263" i="1"/>
  <c r="M263" i="1"/>
  <c r="N263" i="1"/>
  <c r="O263" i="1"/>
  <c r="P263" i="1"/>
  <c r="Q263" i="1"/>
  <c r="R263" i="1"/>
  <c r="S263" i="1"/>
  <c r="K264" i="1"/>
  <c r="L264" i="1"/>
  <c r="M264" i="1"/>
  <c r="N264" i="1"/>
  <c r="O264" i="1"/>
  <c r="P264" i="1"/>
  <c r="Q264" i="1"/>
  <c r="R264" i="1"/>
  <c r="S264" i="1"/>
  <c r="K265" i="1"/>
  <c r="L265" i="1"/>
  <c r="M265" i="1"/>
  <c r="N265" i="1"/>
  <c r="O265" i="1"/>
  <c r="P265" i="1"/>
  <c r="Q265" i="1"/>
  <c r="R265" i="1"/>
  <c r="S265" i="1"/>
  <c r="K266" i="1"/>
  <c r="L266" i="1"/>
  <c r="M266" i="1"/>
  <c r="N266" i="1"/>
  <c r="O266" i="1"/>
  <c r="P266" i="1"/>
  <c r="Q266" i="1"/>
  <c r="R266" i="1"/>
  <c r="S266" i="1"/>
  <c r="K267" i="1"/>
  <c r="L267" i="1"/>
  <c r="M267" i="1"/>
  <c r="N267" i="1"/>
  <c r="O267" i="1"/>
  <c r="P267" i="1"/>
  <c r="Q267" i="1"/>
  <c r="R267" i="1"/>
  <c r="S267" i="1"/>
  <c r="K268" i="1"/>
  <c r="L268" i="1"/>
  <c r="M268" i="1"/>
  <c r="N268" i="1"/>
  <c r="O268" i="1"/>
  <c r="P268" i="1"/>
  <c r="Q268" i="1"/>
  <c r="R268" i="1"/>
  <c r="S268" i="1"/>
  <c r="K269" i="1"/>
  <c r="L269" i="1"/>
  <c r="M269" i="1"/>
  <c r="N269" i="1"/>
  <c r="O269" i="1"/>
  <c r="P269" i="1"/>
  <c r="Q269" i="1"/>
  <c r="R269" i="1"/>
  <c r="S269" i="1"/>
  <c r="K270" i="1"/>
  <c r="L270" i="1"/>
  <c r="M270" i="1"/>
  <c r="N270" i="1"/>
  <c r="O270" i="1"/>
  <c r="P270" i="1"/>
  <c r="Q270" i="1"/>
  <c r="R270" i="1"/>
  <c r="S270" i="1"/>
  <c r="K271" i="1"/>
  <c r="L271" i="1"/>
  <c r="M271" i="1"/>
  <c r="N271" i="1"/>
  <c r="O271" i="1"/>
  <c r="P271" i="1"/>
  <c r="Q271" i="1"/>
  <c r="R271" i="1"/>
  <c r="S271" i="1"/>
  <c r="K272" i="1"/>
  <c r="L272" i="1"/>
  <c r="M272" i="1"/>
  <c r="N272" i="1"/>
  <c r="O272" i="1"/>
  <c r="P272" i="1"/>
  <c r="Q272" i="1"/>
  <c r="R272" i="1"/>
  <c r="S272" i="1"/>
  <c r="K273" i="1"/>
  <c r="L273" i="1"/>
  <c r="M273" i="1"/>
  <c r="N273" i="1"/>
  <c r="O273" i="1"/>
  <c r="P273" i="1"/>
  <c r="Q273" i="1"/>
  <c r="R273" i="1"/>
  <c r="S273" i="1"/>
  <c r="K274" i="1"/>
  <c r="L274" i="1"/>
  <c r="M274" i="1"/>
  <c r="N274" i="1"/>
  <c r="O274" i="1"/>
  <c r="P274" i="1"/>
  <c r="Q274" i="1"/>
  <c r="R274" i="1"/>
  <c r="S274" i="1"/>
  <c r="K275" i="1"/>
  <c r="L275" i="1"/>
  <c r="M275" i="1"/>
  <c r="N275" i="1"/>
  <c r="O275" i="1"/>
  <c r="P275" i="1"/>
  <c r="Q275" i="1"/>
  <c r="R275" i="1"/>
  <c r="S275" i="1"/>
  <c r="K276" i="1"/>
  <c r="L276" i="1"/>
  <c r="M276" i="1"/>
  <c r="N276" i="1"/>
  <c r="O276" i="1"/>
  <c r="P276" i="1"/>
  <c r="Q276" i="1"/>
  <c r="R276" i="1"/>
  <c r="S276" i="1"/>
  <c r="K277" i="1"/>
  <c r="L277" i="1"/>
  <c r="M277" i="1"/>
  <c r="N277" i="1"/>
  <c r="O277" i="1"/>
  <c r="P277" i="1"/>
  <c r="Q277" i="1"/>
  <c r="R277" i="1"/>
  <c r="S277" i="1"/>
  <c r="K278" i="1"/>
  <c r="L278" i="1"/>
  <c r="M278" i="1"/>
  <c r="N278" i="1"/>
  <c r="O278" i="1"/>
  <c r="P278" i="1"/>
  <c r="Q278" i="1"/>
  <c r="R278" i="1"/>
  <c r="S278" i="1"/>
  <c r="K279" i="1"/>
  <c r="L279" i="1"/>
  <c r="M279" i="1"/>
  <c r="N279" i="1"/>
  <c r="O279" i="1"/>
  <c r="P279" i="1"/>
  <c r="Q279" i="1"/>
  <c r="R279" i="1"/>
  <c r="S279" i="1"/>
  <c r="K280" i="1"/>
  <c r="L280" i="1"/>
  <c r="M280" i="1"/>
  <c r="N280" i="1"/>
  <c r="O280" i="1"/>
  <c r="P280" i="1"/>
  <c r="Q280" i="1"/>
  <c r="R280" i="1"/>
  <c r="S280" i="1"/>
  <c r="K281" i="1"/>
  <c r="L281" i="1"/>
  <c r="M281" i="1"/>
  <c r="N281" i="1"/>
  <c r="O281" i="1"/>
  <c r="P281" i="1"/>
  <c r="Q281" i="1"/>
  <c r="R281" i="1"/>
  <c r="S281" i="1"/>
  <c r="K282" i="1"/>
  <c r="L282" i="1"/>
  <c r="M282" i="1"/>
  <c r="N282" i="1"/>
  <c r="O282" i="1"/>
  <c r="P282" i="1"/>
  <c r="Q282" i="1"/>
  <c r="R282" i="1"/>
  <c r="S282" i="1"/>
  <c r="K283" i="1"/>
  <c r="L283" i="1"/>
  <c r="M283" i="1"/>
  <c r="N283" i="1"/>
  <c r="O283" i="1"/>
  <c r="P283" i="1"/>
  <c r="Q283" i="1"/>
  <c r="R283" i="1"/>
  <c r="S283" i="1"/>
  <c r="K284" i="1"/>
  <c r="L284" i="1"/>
  <c r="M284" i="1"/>
  <c r="N284" i="1"/>
  <c r="O284" i="1"/>
  <c r="P284" i="1"/>
  <c r="Q284" i="1"/>
  <c r="R284" i="1"/>
  <c r="S284" i="1"/>
  <c r="K285" i="1"/>
  <c r="L285" i="1"/>
  <c r="M285" i="1"/>
  <c r="N285" i="1"/>
  <c r="O285" i="1"/>
  <c r="P285" i="1"/>
  <c r="Q285" i="1"/>
  <c r="R285" i="1"/>
  <c r="S285" i="1"/>
  <c r="K286" i="1"/>
  <c r="L286" i="1"/>
  <c r="M286" i="1"/>
  <c r="N286" i="1"/>
  <c r="O286" i="1"/>
  <c r="P286" i="1"/>
  <c r="Q286" i="1"/>
  <c r="R286" i="1"/>
  <c r="S286" i="1"/>
  <c r="K287" i="1"/>
  <c r="L287" i="1"/>
  <c r="M287" i="1"/>
  <c r="N287" i="1"/>
  <c r="O287" i="1"/>
  <c r="P287" i="1"/>
  <c r="Q287" i="1"/>
  <c r="R287" i="1"/>
  <c r="S287" i="1"/>
  <c r="K288" i="1"/>
  <c r="L288" i="1"/>
  <c r="M288" i="1"/>
  <c r="N288" i="1"/>
  <c r="O288" i="1"/>
  <c r="P288" i="1"/>
  <c r="Q288" i="1"/>
  <c r="R288" i="1"/>
  <c r="S288" i="1"/>
  <c r="K289" i="1"/>
  <c r="L289" i="1"/>
  <c r="M289" i="1"/>
  <c r="N289" i="1"/>
  <c r="O289" i="1"/>
  <c r="P289" i="1"/>
  <c r="Q289" i="1"/>
  <c r="R289" i="1"/>
  <c r="S289" i="1"/>
  <c r="K290" i="1"/>
  <c r="L290" i="1"/>
  <c r="M290" i="1"/>
  <c r="N290" i="1"/>
  <c r="O290" i="1"/>
  <c r="P290" i="1"/>
  <c r="Q290" i="1"/>
  <c r="R290" i="1"/>
  <c r="S290" i="1"/>
  <c r="K291" i="1"/>
  <c r="L291" i="1"/>
  <c r="M291" i="1"/>
  <c r="N291" i="1"/>
  <c r="O291" i="1"/>
  <c r="P291" i="1"/>
  <c r="Q291" i="1"/>
  <c r="R291" i="1"/>
  <c r="S291" i="1"/>
  <c r="K292" i="1"/>
  <c r="L292" i="1"/>
  <c r="M292" i="1"/>
  <c r="N292" i="1"/>
  <c r="O292" i="1"/>
  <c r="P292" i="1"/>
  <c r="Q292" i="1"/>
  <c r="R292" i="1"/>
  <c r="S292" i="1"/>
  <c r="K293" i="1"/>
  <c r="L293" i="1"/>
  <c r="M293" i="1"/>
  <c r="N293" i="1"/>
  <c r="O293" i="1"/>
  <c r="P293" i="1"/>
  <c r="Q293" i="1"/>
  <c r="R293" i="1"/>
  <c r="S293" i="1"/>
  <c r="K294" i="1"/>
  <c r="L294" i="1"/>
  <c r="M294" i="1"/>
  <c r="N294" i="1"/>
  <c r="O294" i="1"/>
  <c r="P294" i="1"/>
  <c r="Q294" i="1"/>
  <c r="R294" i="1"/>
  <c r="S294" i="1"/>
  <c r="K295" i="1"/>
  <c r="L295" i="1"/>
  <c r="M295" i="1"/>
  <c r="N295" i="1"/>
  <c r="O295" i="1"/>
  <c r="P295" i="1"/>
  <c r="Q295" i="1"/>
  <c r="R295" i="1"/>
  <c r="S295" i="1"/>
  <c r="K296" i="1"/>
  <c r="L296" i="1"/>
  <c r="M296" i="1"/>
  <c r="N296" i="1"/>
  <c r="O296" i="1"/>
  <c r="P296" i="1"/>
  <c r="Q296" i="1"/>
  <c r="R296" i="1"/>
  <c r="S296" i="1"/>
  <c r="K297" i="1"/>
  <c r="L297" i="1"/>
  <c r="M297" i="1"/>
  <c r="N297" i="1"/>
  <c r="O297" i="1"/>
  <c r="P297" i="1"/>
  <c r="Q297" i="1"/>
  <c r="R297" i="1"/>
  <c r="S297" i="1"/>
  <c r="K298" i="1"/>
  <c r="L298" i="1"/>
  <c r="M298" i="1"/>
  <c r="N298" i="1"/>
  <c r="O298" i="1"/>
  <c r="P298" i="1"/>
  <c r="Q298" i="1"/>
  <c r="R298" i="1"/>
  <c r="S298" i="1"/>
  <c r="K299" i="1"/>
  <c r="L299" i="1"/>
  <c r="M299" i="1"/>
  <c r="N299" i="1"/>
  <c r="O299" i="1"/>
  <c r="P299" i="1"/>
  <c r="Q299" i="1"/>
  <c r="R299" i="1"/>
  <c r="S299" i="1"/>
  <c r="K300" i="1"/>
  <c r="L300" i="1"/>
  <c r="M300" i="1"/>
  <c r="N300" i="1"/>
  <c r="O300" i="1"/>
  <c r="P300" i="1"/>
  <c r="Q300" i="1"/>
  <c r="R300" i="1"/>
  <c r="S300" i="1"/>
  <c r="K301" i="1"/>
  <c r="L301" i="1"/>
  <c r="M301" i="1"/>
  <c r="N301" i="1"/>
  <c r="O301" i="1"/>
  <c r="P301" i="1"/>
  <c r="Q301" i="1"/>
  <c r="R301" i="1"/>
  <c r="S301" i="1"/>
  <c r="K302" i="1"/>
  <c r="L302" i="1"/>
  <c r="M302" i="1"/>
  <c r="N302" i="1"/>
  <c r="O302" i="1"/>
  <c r="P302" i="1"/>
  <c r="Q302" i="1"/>
  <c r="R302" i="1"/>
  <c r="S302" i="1"/>
  <c r="K303" i="1"/>
  <c r="L303" i="1"/>
  <c r="M303" i="1"/>
  <c r="N303" i="1"/>
  <c r="O303" i="1"/>
  <c r="P303" i="1"/>
  <c r="Q303" i="1"/>
  <c r="R303" i="1"/>
  <c r="S303" i="1"/>
  <c r="K304" i="1"/>
  <c r="L304" i="1"/>
  <c r="M304" i="1"/>
  <c r="N304" i="1"/>
  <c r="O304" i="1"/>
  <c r="P304" i="1"/>
  <c r="Q304" i="1"/>
  <c r="R304" i="1"/>
  <c r="S304" i="1"/>
  <c r="K305" i="1"/>
  <c r="L305" i="1"/>
  <c r="M305" i="1"/>
  <c r="N305" i="1"/>
  <c r="O305" i="1"/>
  <c r="P305" i="1"/>
  <c r="Q305" i="1"/>
  <c r="R305" i="1"/>
  <c r="S305" i="1"/>
  <c r="K306" i="1"/>
  <c r="L306" i="1"/>
  <c r="M306" i="1"/>
  <c r="N306" i="1"/>
  <c r="O306" i="1"/>
  <c r="P306" i="1"/>
  <c r="Q306" i="1"/>
  <c r="R306" i="1"/>
  <c r="S306" i="1"/>
  <c r="K307" i="1"/>
  <c r="L307" i="1"/>
  <c r="M307" i="1"/>
  <c r="N307" i="1"/>
  <c r="O307" i="1"/>
  <c r="P307" i="1"/>
  <c r="Q307" i="1"/>
  <c r="R307" i="1"/>
  <c r="S307" i="1"/>
  <c r="K308" i="1"/>
  <c r="L308" i="1"/>
  <c r="M308" i="1"/>
  <c r="N308" i="1"/>
  <c r="O308" i="1"/>
  <c r="P308" i="1"/>
  <c r="Q308" i="1"/>
  <c r="R308" i="1"/>
  <c r="S308" i="1"/>
  <c r="K309" i="1"/>
  <c r="L309" i="1"/>
  <c r="M309" i="1"/>
  <c r="N309" i="1"/>
  <c r="O309" i="1"/>
  <c r="P309" i="1"/>
  <c r="Q309" i="1"/>
  <c r="R309" i="1"/>
  <c r="S309" i="1"/>
  <c r="K310" i="1"/>
  <c r="L310" i="1"/>
  <c r="M310" i="1"/>
  <c r="N310" i="1"/>
  <c r="O310" i="1"/>
  <c r="P310" i="1"/>
  <c r="Q310" i="1"/>
  <c r="R310" i="1"/>
  <c r="S310" i="1"/>
  <c r="K311" i="1"/>
  <c r="L311" i="1"/>
  <c r="M311" i="1"/>
  <c r="N311" i="1"/>
  <c r="O311" i="1"/>
  <c r="P311" i="1"/>
  <c r="Q311" i="1"/>
  <c r="R311" i="1"/>
  <c r="S311" i="1"/>
  <c r="K312" i="1"/>
  <c r="L312" i="1"/>
  <c r="M312" i="1"/>
  <c r="N312" i="1"/>
  <c r="O312" i="1"/>
  <c r="P312" i="1"/>
  <c r="Q312" i="1"/>
  <c r="R312" i="1"/>
  <c r="S312" i="1"/>
  <c r="K313" i="1"/>
  <c r="L313" i="1"/>
  <c r="M313" i="1"/>
  <c r="N313" i="1"/>
  <c r="O313" i="1"/>
  <c r="P313" i="1"/>
  <c r="Q313" i="1"/>
  <c r="R313" i="1"/>
  <c r="S313" i="1"/>
  <c r="K314" i="1"/>
  <c r="L314" i="1"/>
  <c r="M314" i="1"/>
  <c r="N314" i="1"/>
  <c r="O314" i="1"/>
  <c r="P314" i="1"/>
  <c r="Q314" i="1"/>
  <c r="R314" i="1"/>
  <c r="S314" i="1"/>
  <c r="K315" i="1"/>
  <c r="L315" i="1"/>
  <c r="M315" i="1"/>
  <c r="N315" i="1"/>
  <c r="O315" i="1"/>
  <c r="P315" i="1"/>
  <c r="Q315" i="1"/>
  <c r="R315" i="1"/>
  <c r="S315" i="1"/>
  <c r="K316" i="1"/>
  <c r="L316" i="1"/>
  <c r="M316" i="1"/>
  <c r="N316" i="1"/>
  <c r="O316" i="1"/>
  <c r="P316" i="1"/>
  <c r="Q316" i="1"/>
  <c r="R316" i="1"/>
  <c r="S316" i="1"/>
  <c r="K317" i="1"/>
  <c r="L317" i="1"/>
  <c r="M317" i="1"/>
  <c r="N317" i="1"/>
  <c r="O317" i="1"/>
  <c r="P317" i="1"/>
  <c r="Q317" i="1"/>
  <c r="R317" i="1"/>
  <c r="S317" i="1"/>
  <c r="K318" i="1"/>
  <c r="L318" i="1"/>
  <c r="M318" i="1"/>
  <c r="N318" i="1"/>
  <c r="O318" i="1"/>
  <c r="P318" i="1"/>
  <c r="Q318" i="1"/>
  <c r="R318" i="1"/>
  <c r="S318" i="1"/>
  <c r="K319" i="1"/>
  <c r="L319" i="1"/>
  <c r="M319" i="1"/>
  <c r="N319" i="1"/>
  <c r="O319" i="1"/>
  <c r="P319" i="1"/>
  <c r="Q319" i="1"/>
  <c r="R319" i="1"/>
  <c r="S319" i="1"/>
  <c r="K320" i="1"/>
  <c r="L320" i="1"/>
  <c r="M320" i="1"/>
  <c r="N320" i="1"/>
  <c r="O320" i="1"/>
  <c r="P320" i="1"/>
  <c r="Q320" i="1"/>
  <c r="R320" i="1"/>
  <c r="S320" i="1"/>
  <c r="K321" i="1"/>
  <c r="L321" i="1"/>
  <c r="M321" i="1"/>
  <c r="N321" i="1"/>
  <c r="O321" i="1"/>
  <c r="P321" i="1"/>
  <c r="Q321" i="1"/>
  <c r="R321" i="1"/>
  <c r="S321" i="1"/>
  <c r="K322" i="1"/>
  <c r="L322" i="1"/>
  <c r="M322" i="1"/>
  <c r="N322" i="1"/>
  <c r="O322" i="1"/>
  <c r="P322" i="1"/>
  <c r="Q322" i="1"/>
  <c r="R322" i="1"/>
  <c r="S322" i="1"/>
  <c r="K323" i="1"/>
  <c r="L323" i="1"/>
  <c r="M323" i="1"/>
  <c r="N323" i="1"/>
  <c r="O323" i="1"/>
  <c r="P323" i="1"/>
  <c r="Q323" i="1"/>
  <c r="R323" i="1"/>
  <c r="S323" i="1"/>
  <c r="K324" i="1"/>
  <c r="L324" i="1"/>
  <c r="M324" i="1"/>
  <c r="N324" i="1"/>
  <c r="O324" i="1"/>
  <c r="P324" i="1"/>
  <c r="Q324" i="1"/>
  <c r="R324" i="1"/>
  <c r="S324" i="1"/>
  <c r="K325" i="1"/>
  <c r="L325" i="1"/>
  <c r="M325" i="1"/>
  <c r="N325" i="1"/>
  <c r="O325" i="1"/>
  <c r="P325" i="1"/>
  <c r="Q325" i="1"/>
  <c r="R325" i="1"/>
  <c r="S325" i="1"/>
  <c r="K326" i="1"/>
  <c r="L326" i="1"/>
  <c r="M326" i="1"/>
  <c r="N326" i="1"/>
  <c r="O326" i="1"/>
  <c r="P326" i="1"/>
  <c r="Q326" i="1"/>
  <c r="R326" i="1"/>
  <c r="S326" i="1"/>
  <c r="K327" i="1"/>
  <c r="L327" i="1"/>
  <c r="M327" i="1"/>
  <c r="N327" i="1"/>
  <c r="O327" i="1"/>
  <c r="P327" i="1"/>
  <c r="Q327" i="1"/>
  <c r="R327" i="1"/>
  <c r="S327" i="1"/>
  <c r="K328" i="1"/>
  <c r="L328" i="1"/>
  <c r="M328" i="1"/>
  <c r="N328" i="1"/>
  <c r="O328" i="1"/>
  <c r="P328" i="1"/>
  <c r="Q328" i="1"/>
  <c r="R328" i="1"/>
  <c r="S328" i="1"/>
  <c r="K329" i="1"/>
  <c r="L329" i="1"/>
  <c r="M329" i="1"/>
  <c r="N329" i="1"/>
  <c r="O329" i="1"/>
  <c r="P329" i="1"/>
  <c r="Q329" i="1"/>
  <c r="R329" i="1"/>
  <c r="S329" i="1"/>
  <c r="K330" i="1"/>
  <c r="L330" i="1"/>
  <c r="M330" i="1"/>
  <c r="N330" i="1"/>
  <c r="O330" i="1"/>
  <c r="P330" i="1"/>
  <c r="Q330" i="1"/>
  <c r="R330" i="1"/>
  <c r="S330" i="1"/>
  <c r="K331" i="1"/>
  <c r="L331" i="1"/>
  <c r="M331" i="1"/>
  <c r="N331" i="1"/>
  <c r="O331" i="1"/>
  <c r="P331" i="1"/>
  <c r="Q331" i="1"/>
  <c r="R331" i="1"/>
  <c r="S331" i="1"/>
  <c r="K332" i="1"/>
  <c r="L332" i="1"/>
  <c r="M332" i="1"/>
  <c r="N332" i="1"/>
  <c r="O332" i="1"/>
  <c r="P332" i="1"/>
  <c r="Q332" i="1"/>
  <c r="R332" i="1"/>
  <c r="S332" i="1"/>
  <c r="K333" i="1"/>
  <c r="L333" i="1"/>
  <c r="M333" i="1"/>
  <c r="N333" i="1"/>
  <c r="O333" i="1"/>
  <c r="P333" i="1"/>
  <c r="Q333" i="1"/>
  <c r="R333" i="1"/>
  <c r="S333" i="1"/>
  <c r="K334" i="1"/>
  <c r="L334" i="1"/>
  <c r="M334" i="1"/>
  <c r="N334" i="1"/>
  <c r="O334" i="1"/>
  <c r="P334" i="1"/>
  <c r="Q334" i="1"/>
  <c r="R334" i="1"/>
  <c r="S334" i="1"/>
  <c r="K335" i="1"/>
  <c r="L335" i="1"/>
  <c r="M335" i="1"/>
  <c r="N335" i="1"/>
  <c r="O335" i="1"/>
  <c r="P335" i="1"/>
  <c r="Q335" i="1"/>
  <c r="R335" i="1"/>
  <c r="S335" i="1"/>
  <c r="K336" i="1"/>
  <c r="L336" i="1"/>
  <c r="M336" i="1"/>
  <c r="N336" i="1"/>
  <c r="O336" i="1"/>
  <c r="P336" i="1"/>
  <c r="Q336" i="1"/>
  <c r="R336" i="1"/>
  <c r="S336" i="1"/>
  <c r="K337" i="1"/>
  <c r="L337" i="1"/>
  <c r="M337" i="1"/>
  <c r="N337" i="1"/>
  <c r="O337" i="1"/>
  <c r="P337" i="1"/>
  <c r="Q337" i="1"/>
  <c r="R337" i="1"/>
  <c r="S337" i="1"/>
  <c r="K338" i="1"/>
  <c r="L338" i="1"/>
  <c r="M338" i="1"/>
  <c r="N338" i="1"/>
  <c r="O338" i="1"/>
  <c r="P338" i="1"/>
  <c r="Q338" i="1"/>
  <c r="R338" i="1"/>
  <c r="S338" i="1"/>
  <c r="K339" i="1"/>
  <c r="L339" i="1"/>
  <c r="M339" i="1"/>
  <c r="N339" i="1"/>
  <c r="O339" i="1"/>
  <c r="P339" i="1"/>
  <c r="Q339" i="1"/>
  <c r="R339" i="1"/>
  <c r="S339" i="1"/>
  <c r="K340" i="1"/>
  <c r="L340" i="1"/>
  <c r="M340" i="1"/>
  <c r="N340" i="1"/>
  <c r="O340" i="1"/>
  <c r="P340" i="1"/>
  <c r="Q340" i="1"/>
  <c r="R340" i="1"/>
  <c r="S340" i="1"/>
  <c r="K341" i="1"/>
  <c r="L341" i="1"/>
  <c r="M341" i="1"/>
  <c r="N341" i="1"/>
  <c r="O341" i="1"/>
  <c r="P341" i="1"/>
  <c r="Q341" i="1"/>
  <c r="R341" i="1"/>
  <c r="S341" i="1"/>
  <c r="K342" i="1"/>
  <c r="L342" i="1"/>
  <c r="M342" i="1"/>
  <c r="N342" i="1"/>
  <c r="O342" i="1"/>
  <c r="P342" i="1"/>
  <c r="Q342" i="1"/>
  <c r="R342" i="1"/>
  <c r="S342" i="1"/>
  <c r="K343" i="1"/>
  <c r="L343" i="1"/>
  <c r="M343" i="1"/>
  <c r="N343" i="1"/>
  <c r="O343" i="1"/>
  <c r="P343" i="1"/>
  <c r="Q343" i="1"/>
  <c r="R343" i="1"/>
  <c r="S343" i="1"/>
  <c r="K344" i="1"/>
  <c r="L344" i="1"/>
  <c r="M344" i="1"/>
  <c r="N344" i="1"/>
  <c r="O344" i="1"/>
  <c r="P344" i="1"/>
  <c r="Q344" i="1"/>
  <c r="R344" i="1"/>
  <c r="S344" i="1"/>
  <c r="K345" i="1"/>
  <c r="L345" i="1"/>
  <c r="M345" i="1"/>
  <c r="N345" i="1"/>
  <c r="O345" i="1"/>
  <c r="P345" i="1"/>
  <c r="Q345" i="1"/>
  <c r="R345" i="1"/>
  <c r="S345" i="1"/>
  <c r="K346" i="1"/>
  <c r="L346" i="1"/>
  <c r="M346" i="1"/>
  <c r="N346" i="1"/>
  <c r="O346" i="1"/>
  <c r="P346" i="1"/>
  <c r="Q346" i="1"/>
  <c r="R346" i="1"/>
  <c r="S346" i="1"/>
  <c r="K347" i="1"/>
  <c r="L347" i="1"/>
  <c r="M347" i="1"/>
  <c r="N347" i="1"/>
  <c r="O347" i="1"/>
  <c r="P347" i="1"/>
  <c r="Q347" i="1"/>
  <c r="R347" i="1"/>
  <c r="S347" i="1"/>
  <c r="K348" i="1"/>
  <c r="L348" i="1"/>
  <c r="M348" i="1"/>
  <c r="N348" i="1"/>
  <c r="O348" i="1"/>
  <c r="P348" i="1"/>
  <c r="Q348" i="1"/>
  <c r="R348" i="1"/>
  <c r="S348" i="1"/>
  <c r="K349" i="1"/>
  <c r="L349" i="1"/>
  <c r="M349" i="1"/>
  <c r="N349" i="1"/>
  <c r="O349" i="1"/>
  <c r="P349" i="1"/>
  <c r="Q349" i="1"/>
  <c r="R349" i="1"/>
  <c r="S349" i="1"/>
  <c r="K350" i="1"/>
  <c r="L350" i="1"/>
  <c r="M350" i="1"/>
  <c r="N350" i="1"/>
  <c r="O350" i="1"/>
  <c r="P350" i="1"/>
  <c r="Q350" i="1"/>
  <c r="R350" i="1"/>
  <c r="S350" i="1"/>
  <c r="K351" i="1"/>
  <c r="L351" i="1"/>
  <c r="M351" i="1"/>
  <c r="N351" i="1"/>
  <c r="O351" i="1"/>
  <c r="P351" i="1"/>
  <c r="Q351" i="1"/>
  <c r="R351" i="1"/>
  <c r="S351" i="1"/>
  <c r="K352" i="1"/>
  <c r="L352" i="1"/>
  <c r="M352" i="1"/>
  <c r="N352" i="1"/>
  <c r="O352" i="1"/>
  <c r="P352" i="1"/>
  <c r="Q352" i="1"/>
  <c r="R352" i="1"/>
  <c r="S352" i="1"/>
  <c r="K353" i="1"/>
  <c r="L353" i="1"/>
  <c r="M353" i="1"/>
  <c r="N353" i="1"/>
  <c r="O353" i="1"/>
  <c r="P353" i="1"/>
  <c r="Q353" i="1"/>
  <c r="R353" i="1"/>
  <c r="S353" i="1"/>
  <c r="K354" i="1"/>
  <c r="L354" i="1"/>
  <c r="M354" i="1"/>
  <c r="N354" i="1"/>
  <c r="O354" i="1"/>
  <c r="P354" i="1"/>
  <c r="Q354" i="1"/>
  <c r="R354" i="1"/>
  <c r="S354" i="1"/>
  <c r="K355" i="1"/>
  <c r="L355" i="1"/>
  <c r="M355" i="1"/>
  <c r="N355" i="1"/>
  <c r="O355" i="1"/>
  <c r="P355" i="1"/>
  <c r="Q355" i="1"/>
  <c r="R355" i="1"/>
  <c r="S355" i="1"/>
  <c r="K356" i="1"/>
  <c r="L356" i="1"/>
  <c r="M356" i="1"/>
  <c r="N356" i="1"/>
  <c r="O356" i="1"/>
  <c r="P356" i="1"/>
  <c r="Q356" i="1"/>
  <c r="R356" i="1"/>
  <c r="S356" i="1"/>
  <c r="K357" i="1"/>
  <c r="L357" i="1"/>
  <c r="M357" i="1"/>
  <c r="N357" i="1"/>
  <c r="O357" i="1"/>
  <c r="P357" i="1"/>
  <c r="Q357" i="1"/>
  <c r="R357" i="1"/>
  <c r="S357" i="1"/>
  <c r="K358" i="1"/>
  <c r="L358" i="1"/>
  <c r="M358" i="1"/>
  <c r="N358" i="1"/>
  <c r="O358" i="1"/>
  <c r="P358" i="1"/>
  <c r="Q358" i="1"/>
  <c r="R358" i="1"/>
  <c r="S358" i="1"/>
  <c r="K359" i="1"/>
  <c r="L359" i="1"/>
  <c r="M359" i="1"/>
  <c r="N359" i="1"/>
  <c r="O359" i="1"/>
  <c r="P359" i="1"/>
  <c r="Q359" i="1"/>
  <c r="R359" i="1"/>
  <c r="S359" i="1"/>
  <c r="K360" i="1"/>
  <c r="L360" i="1"/>
  <c r="M360" i="1"/>
  <c r="N360" i="1"/>
  <c r="O360" i="1"/>
  <c r="P360" i="1"/>
  <c r="Q360" i="1"/>
  <c r="R360" i="1"/>
  <c r="S360" i="1"/>
  <c r="K361" i="1"/>
  <c r="L361" i="1"/>
  <c r="M361" i="1"/>
  <c r="N361" i="1"/>
  <c r="O361" i="1"/>
  <c r="P361" i="1"/>
  <c r="Q361" i="1"/>
  <c r="R361" i="1"/>
  <c r="S361" i="1"/>
  <c r="K362" i="1"/>
  <c r="L362" i="1"/>
  <c r="M362" i="1"/>
  <c r="N362" i="1"/>
  <c r="O362" i="1"/>
  <c r="P362" i="1"/>
  <c r="Q362" i="1"/>
  <c r="R362" i="1"/>
  <c r="S362" i="1"/>
  <c r="K363" i="1"/>
  <c r="L363" i="1"/>
  <c r="M363" i="1"/>
  <c r="N363" i="1"/>
  <c r="O363" i="1"/>
  <c r="P363" i="1"/>
  <c r="Q363" i="1"/>
  <c r="R363" i="1"/>
  <c r="S363" i="1"/>
  <c r="K364" i="1"/>
  <c r="L364" i="1"/>
  <c r="M364" i="1"/>
  <c r="N364" i="1"/>
  <c r="O364" i="1"/>
  <c r="P364" i="1"/>
  <c r="Q364" i="1"/>
  <c r="R364" i="1"/>
  <c r="S364" i="1"/>
  <c r="K365" i="1"/>
  <c r="L365" i="1"/>
  <c r="M365" i="1"/>
  <c r="N365" i="1"/>
  <c r="O365" i="1"/>
  <c r="P365" i="1"/>
  <c r="Q365" i="1"/>
  <c r="R365" i="1"/>
  <c r="S365" i="1"/>
  <c r="K366" i="1"/>
  <c r="L366" i="1"/>
  <c r="M366" i="1"/>
  <c r="N366" i="1"/>
  <c r="O366" i="1"/>
  <c r="P366" i="1"/>
  <c r="Q366" i="1"/>
  <c r="R366" i="1"/>
  <c r="S366" i="1"/>
  <c r="K367" i="1"/>
  <c r="L367" i="1"/>
  <c r="M367" i="1"/>
  <c r="N367" i="1"/>
  <c r="O367" i="1"/>
  <c r="P367" i="1"/>
  <c r="Q367" i="1"/>
  <c r="R367" i="1"/>
  <c r="S367" i="1"/>
  <c r="K368" i="1"/>
  <c r="L368" i="1"/>
  <c r="M368" i="1"/>
  <c r="N368" i="1"/>
  <c r="O368" i="1"/>
  <c r="P368" i="1"/>
  <c r="Q368" i="1"/>
  <c r="R368" i="1"/>
  <c r="S368" i="1"/>
  <c r="K369" i="1"/>
  <c r="L369" i="1"/>
  <c r="M369" i="1"/>
  <c r="N369" i="1"/>
  <c r="O369" i="1"/>
  <c r="P369" i="1"/>
  <c r="Q369" i="1"/>
  <c r="R369" i="1"/>
  <c r="S369" i="1"/>
  <c r="K370" i="1"/>
  <c r="L370" i="1"/>
  <c r="M370" i="1"/>
  <c r="N370" i="1"/>
  <c r="O370" i="1"/>
  <c r="P370" i="1"/>
  <c r="Q370" i="1"/>
  <c r="R370" i="1"/>
  <c r="S370" i="1"/>
  <c r="K371" i="1"/>
  <c r="L371" i="1"/>
  <c r="M371" i="1"/>
  <c r="N371" i="1"/>
  <c r="O371" i="1"/>
  <c r="P371" i="1"/>
  <c r="Q371" i="1"/>
  <c r="R371" i="1"/>
  <c r="S371" i="1"/>
  <c r="K372" i="1"/>
  <c r="L372" i="1"/>
  <c r="M372" i="1"/>
  <c r="N372" i="1"/>
  <c r="O372" i="1"/>
  <c r="P372" i="1"/>
  <c r="Q372" i="1"/>
  <c r="R372" i="1"/>
  <c r="S372" i="1"/>
  <c r="K373" i="1"/>
  <c r="L373" i="1"/>
  <c r="M373" i="1"/>
  <c r="N373" i="1"/>
  <c r="O373" i="1"/>
  <c r="P373" i="1"/>
  <c r="Q373" i="1"/>
  <c r="R373" i="1"/>
  <c r="S373" i="1"/>
  <c r="K374" i="1"/>
  <c r="L374" i="1"/>
  <c r="M374" i="1"/>
  <c r="N374" i="1"/>
  <c r="O374" i="1"/>
  <c r="P374" i="1"/>
  <c r="Q374" i="1"/>
  <c r="R374" i="1"/>
  <c r="S374" i="1"/>
  <c r="K375" i="1"/>
  <c r="L375" i="1"/>
  <c r="M375" i="1"/>
  <c r="N375" i="1"/>
  <c r="O375" i="1"/>
  <c r="P375" i="1"/>
  <c r="Q375" i="1"/>
  <c r="R375" i="1"/>
  <c r="S375" i="1"/>
  <c r="K376" i="1"/>
  <c r="L376" i="1"/>
  <c r="M376" i="1"/>
  <c r="N376" i="1"/>
  <c r="O376" i="1"/>
  <c r="P376" i="1"/>
  <c r="Q376" i="1"/>
  <c r="R376" i="1"/>
  <c r="S376" i="1"/>
  <c r="K377" i="1"/>
  <c r="L377" i="1"/>
  <c r="M377" i="1"/>
  <c r="N377" i="1"/>
  <c r="O377" i="1"/>
  <c r="P377" i="1"/>
  <c r="Q377" i="1"/>
  <c r="R377" i="1"/>
  <c r="S377" i="1"/>
  <c r="K378" i="1"/>
  <c r="L378" i="1"/>
  <c r="M378" i="1"/>
  <c r="N378" i="1"/>
  <c r="O378" i="1"/>
  <c r="P378" i="1"/>
  <c r="Q378" i="1"/>
  <c r="R378" i="1"/>
  <c r="S378" i="1"/>
  <c r="K379" i="1"/>
  <c r="L379" i="1"/>
  <c r="M379" i="1"/>
  <c r="N379" i="1"/>
  <c r="O379" i="1"/>
  <c r="P379" i="1"/>
  <c r="Q379" i="1"/>
  <c r="R379" i="1"/>
  <c r="S379" i="1"/>
  <c r="K380" i="1"/>
  <c r="L380" i="1"/>
  <c r="M380" i="1"/>
  <c r="N380" i="1"/>
  <c r="O380" i="1"/>
  <c r="P380" i="1"/>
  <c r="Q380" i="1"/>
  <c r="R380" i="1"/>
  <c r="S380" i="1"/>
  <c r="K381" i="1"/>
  <c r="L381" i="1"/>
  <c r="M381" i="1"/>
  <c r="N381" i="1"/>
  <c r="O381" i="1"/>
  <c r="P381" i="1"/>
  <c r="Q381" i="1"/>
  <c r="R381" i="1"/>
  <c r="S381" i="1"/>
  <c r="K382" i="1"/>
  <c r="L382" i="1"/>
  <c r="M382" i="1"/>
  <c r="N382" i="1"/>
  <c r="O382" i="1"/>
  <c r="P382" i="1"/>
  <c r="Q382" i="1"/>
  <c r="R382" i="1"/>
  <c r="S382" i="1"/>
  <c r="K383" i="1"/>
  <c r="L383" i="1"/>
  <c r="M383" i="1"/>
  <c r="N383" i="1"/>
  <c r="O383" i="1"/>
  <c r="P383" i="1"/>
  <c r="Q383" i="1"/>
  <c r="R383" i="1"/>
  <c r="S383" i="1"/>
  <c r="K384" i="1"/>
  <c r="L384" i="1"/>
  <c r="M384" i="1"/>
  <c r="N384" i="1"/>
  <c r="O384" i="1"/>
  <c r="P384" i="1"/>
  <c r="Q384" i="1"/>
  <c r="R384" i="1"/>
  <c r="S384" i="1"/>
  <c r="K385" i="1"/>
  <c r="L385" i="1"/>
  <c r="M385" i="1"/>
  <c r="N385" i="1"/>
  <c r="O385" i="1"/>
  <c r="P385" i="1"/>
  <c r="Q385" i="1"/>
  <c r="R385" i="1"/>
  <c r="S385" i="1"/>
  <c r="K386" i="1"/>
  <c r="L386" i="1"/>
  <c r="M386" i="1"/>
  <c r="N386" i="1"/>
  <c r="O386" i="1"/>
  <c r="P386" i="1"/>
  <c r="Q386" i="1"/>
  <c r="R386" i="1"/>
  <c r="S386" i="1"/>
  <c r="K387" i="1"/>
  <c r="L387" i="1"/>
  <c r="M387" i="1"/>
  <c r="N387" i="1"/>
  <c r="O387" i="1"/>
  <c r="P387" i="1"/>
  <c r="Q387" i="1"/>
  <c r="R387" i="1"/>
  <c r="S387" i="1"/>
  <c r="K388" i="1"/>
  <c r="L388" i="1"/>
  <c r="M388" i="1"/>
  <c r="N388" i="1"/>
  <c r="O388" i="1"/>
  <c r="P388" i="1"/>
  <c r="Q388" i="1"/>
  <c r="R388" i="1"/>
  <c r="S388" i="1"/>
  <c r="K389" i="1"/>
  <c r="L389" i="1"/>
  <c r="M389" i="1"/>
  <c r="N389" i="1"/>
  <c r="O389" i="1"/>
  <c r="P389" i="1"/>
  <c r="Q389" i="1"/>
  <c r="R389" i="1"/>
  <c r="S389" i="1"/>
  <c r="K390" i="1"/>
  <c r="L390" i="1"/>
  <c r="M390" i="1"/>
  <c r="N390" i="1"/>
  <c r="O390" i="1"/>
  <c r="P390" i="1"/>
  <c r="Q390" i="1"/>
  <c r="R390" i="1"/>
  <c r="S390" i="1"/>
  <c r="K391" i="1"/>
  <c r="L391" i="1"/>
  <c r="M391" i="1"/>
  <c r="N391" i="1"/>
  <c r="O391" i="1"/>
  <c r="P391" i="1"/>
  <c r="Q391" i="1"/>
  <c r="R391" i="1"/>
  <c r="S391" i="1"/>
  <c r="K392" i="1"/>
  <c r="L392" i="1"/>
  <c r="M392" i="1"/>
  <c r="N392" i="1"/>
  <c r="O392" i="1"/>
  <c r="P392" i="1"/>
  <c r="Q392" i="1"/>
  <c r="R392" i="1"/>
  <c r="S392" i="1"/>
  <c r="K393" i="1"/>
  <c r="L393" i="1"/>
  <c r="M393" i="1"/>
  <c r="N393" i="1"/>
  <c r="O393" i="1"/>
  <c r="P393" i="1"/>
  <c r="Q393" i="1"/>
  <c r="R393" i="1"/>
  <c r="S393" i="1"/>
  <c r="K394" i="1"/>
  <c r="L394" i="1"/>
  <c r="M394" i="1"/>
  <c r="N394" i="1"/>
  <c r="O394" i="1"/>
  <c r="P394" i="1"/>
  <c r="Q394" i="1"/>
  <c r="R394" i="1"/>
  <c r="S394" i="1"/>
  <c r="K395" i="1"/>
  <c r="L395" i="1"/>
  <c r="M395" i="1"/>
  <c r="N395" i="1"/>
  <c r="O395" i="1"/>
  <c r="P395" i="1"/>
  <c r="Q395" i="1"/>
  <c r="R395" i="1"/>
  <c r="S395" i="1"/>
  <c r="K396" i="1"/>
  <c r="L396" i="1"/>
  <c r="M396" i="1"/>
  <c r="N396" i="1"/>
  <c r="O396" i="1"/>
  <c r="P396" i="1"/>
  <c r="Q396" i="1"/>
  <c r="R396" i="1"/>
  <c r="S396" i="1"/>
  <c r="K397" i="1"/>
  <c r="L397" i="1"/>
  <c r="M397" i="1"/>
  <c r="N397" i="1"/>
  <c r="O397" i="1"/>
  <c r="P397" i="1"/>
  <c r="Q397" i="1"/>
  <c r="R397" i="1"/>
  <c r="S397" i="1"/>
  <c r="K398" i="1"/>
  <c r="L398" i="1"/>
  <c r="M398" i="1"/>
  <c r="N398" i="1"/>
  <c r="O398" i="1"/>
  <c r="P398" i="1"/>
  <c r="Q398" i="1"/>
  <c r="R398" i="1"/>
  <c r="S398" i="1"/>
  <c r="K399" i="1"/>
  <c r="L399" i="1"/>
  <c r="M399" i="1"/>
  <c r="N399" i="1"/>
  <c r="O399" i="1"/>
  <c r="P399" i="1"/>
  <c r="Q399" i="1"/>
  <c r="R399" i="1"/>
  <c r="S399" i="1"/>
  <c r="K400" i="1"/>
  <c r="L400" i="1"/>
  <c r="M400" i="1"/>
  <c r="N400" i="1"/>
  <c r="O400" i="1"/>
  <c r="P400" i="1"/>
  <c r="Q400" i="1"/>
  <c r="R400" i="1"/>
  <c r="S400" i="1"/>
  <c r="K401" i="1"/>
  <c r="L401" i="1"/>
  <c r="M401" i="1"/>
  <c r="N401" i="1"/>
  <c r="O401" i="1"/>
  <c r="P401" i="1"/>
  <c r="Q401" i="1"/>
  <c r="R401" i="1"/>
  <c r="S401" i="1"/>
  <c r="K402" i="1"/>
  <c r="L402" i="1"/>
  <c r="M402" i="1"/>
  <c r="N402" i="1"/>
  <c r="O402" i="1"/>
  <c r="P402" i="1"/>
  <c r="Q402" i="1"/>
  <c r="R402" i="1"/>
  <c r="S402" i="1"/>
  <c r="K403" i="1"/>
  <c r="L403" i="1"/>
  <c r="M403" i="1"/>
  <c r="N403" i="1"/>
  <c r="O403" i="1"/>
  <c r="P403" i="1"/>
  <c r="Q403" i="1"/>
  <c r="R403" i="1"/>
  <c r="S403" i="1"/>
  <c r="K404" i="1"/>
  <c r="L404" i="1"/>
  <c r="M404" i="1"/>
  <c r="N404" i="1"/>
  <c r="O404" i="1"/>
  <c r="P404" i="1"/>
  <c r="Q404" i="1"/>
  <c r="R404" i="1"/>
  <c r="S404" i="1"/>
  <c r="K405" i="1"/>
  <c r="L405" i="1"/>
  <c r="M405" i="1"/>
  <c r="N405" i="1"/>
  <c r="O405" i="1"/>
  <c r="P405" i="1"/>
  <c r="Q405" i="1"/>
  <c r="R405" i="1"/>
  <c r="S405" i="1"/>
  <c r="K406" i="1"/>
  <c r="L406" i="1"/>
  <c r="M406" i="1"/>
  <c r="N406" i="1"/>
  <c r="O406" i="1"/>
  <c r="P406" i="1"/>
  <c r="Q406" i="1"/>
  <c r="R406" i="1"/>
  <c r="S406" i="1"/>
  <c r="K407" i="1"/>
  <c r="L407" i="1"/>
  <c r="M407" i="1"/>
  <c r="N407" i="1"/>
  <c r="O407" i="1"/>
  <c r="P407" i="1"/>
  <c r="Q407" i="1"/>
  <c r="R407" i="1"/>
  <c r="S407" i="1"/>
  <c r="K408" i="1"/>
  <c r="L408" i="1"/>
  <c r="M408" i="1"/>
  <c r="N408" i="1"/>
  <c r="O408" i="1"/>
  <c r="P408" i="1"/>
  <c r="Q408" i="1"/>
  <c r="R408" i="1"/>
  <c r="S408" i="1"/>
  <c r="K409" i="1"/>
  <c r="L409" i="1"/>
  <c r="M409" i="1"/>
  <c r="N409" i="1"/>
  <c r="O409" i="1"/>
  <c r="P409" i="1"/>
  <c r="Q409" i="1"/>
  <c r="R409" i="1"/>
  <c r="S409" i="1"/>
  <c r="K410" i="1"/>
  <c r="L410" i="1"/>
  <c r="M410" i="1"/>
  <c r="N410" i="1"/>
  <c r="O410" i="1"/>
  <c r="P410" i="1"/>
  <c r="Q410" i="1"/>
  <c r="R410" i="1"/>
  <c r="S410" i="1"/>
  <c r="K411" i="1"/>
  <c r="L411" i="1"/>
  <c r="M411" i="1"/>
  <c r="N411" i="1"/>
  <c r="O411" i="1"/>
  <c r="P411" i="1"/>
  <c r="Q411" i="1"/>
  <c r="R411" i="1"/>
  <c r="S411" i="1"/>
  <c r="K412" i="1"/>
  <c r="L412" i="1"/>
  <c r="M412" i="1"/>
  <c r="N412" i="1"/>
  <c r="O412" i="1"/>
  <c r="P412" i="1"/>
  <c r="Q412" i="1"/>
  <c r="R412" i="1"/>
  <c r="S412" i="1"/>
  <c r="K413" i="1"/>
  <c r="L413" i="1"/>
  <c r="M413" i="1"/>
  <c r="N413" i="1"/>
  <c r="O413" i="1"/>
  <c r="P413" i="1"/>
  <c r="Q413" i="1"/>
  <c r="R413" i="1"/>
  <c r="S413" i="1"/>
  <c r="K414" i="1"/>
  <c r="L414" i="1"/>
  <c r="M414" i="1"/>
  <c r="N414" i="1"/>
  <c r="O414" i="1"/>
  <c r="P414" i="1"/>
  <c r="Q414" i="1"/>
  <c r="R414" i="1"/>
  <c r="S414" i="1"/>
  <c r="K415" i="1"/>
  <c r="L415" i="1"/>
  <c r="M415" i="1"/>
  <c r="N415" i="1"/>
  <c r="O415" i="1"/>
  <c r="P415" i="1"/>
  <c r="Q415" i="1"/>
  <c r="R415" i="1"/>
  <c r="S415" i="1"/>
  <c r="K416" i="1"/>
  <c r="L416" i="1"/>
  <c r="M416" i="1"/>
  <c r="N416" i="1"/>
  <c r="O416" i="1"/>
  <c r="P416" i="1"/>
  <c r="Q416" i="1"/>
  <c r="R416" i="1"/>
  <c r="S416" i="1"/>
  <c r="K417" i="1"/>
  <c r="L417" i="1"/>
  <c r="M417" i="1"/>
  <c r="N417" i="1"/>
  <c r="O417" i="1"/>
  <c r="P417" i="1"/>
  <c r="Q417" i="1"/>
  <c r="R417" i="1"/>
  <c r="S417" i="1"/>
  <c r="K418" i="1"/>
  <c r="L418" i="1"/>
  <c r="M418" i="1"/>
  <c r="N418" i="1"/>
  <c r="O418" i="1"/>
  <c r="P418" i="1"/>
  <c r="Q418" i="1"/>
  <c r="R418" i="1"/>
  <c r="S418" i="1"/>
  <c r="K419" i="1"/>
  <c r="L419" i="1"/>
  <c r="M419" i="1"/>
  <c r="N419" i="1"/>
  <c r="O419" i="1"/>
  <c r="P419" i="1"/>
  <c r="Q419" i="1"/>
  <c r="R419" i="1"/>
  <c r="S419" i="1"/>
  <c r="K420" i="1"/>
  <c r="L420" i="1"/>
  <c r="M420" i="1"/>
  <c r="N420" i="1"/>
  <c r="O420" i="1"/>
  <c r="P420" i="1"/>
  <c r="Q420" i="1"/>
  <c r="R420" i="1"/>
  <c r="S420" i="1"/>
  <c r="K421" i="1"/>
  <c r="L421" i="1"/>
  <c r="M421" i="1"/>
  <c r="N421" i="1"/>
  <c r="O421" i="1"/>
  <c r="P421" i="1"/>
  <c r="Q421" i="1"/>
  <c r="R421" i="1"/>
  <c r="S421" i="1"/>
  <c r="K422" i="1"/>
  <c r="L422" i="1"/>
  <c r="M422" i="1"/>
  <c r="N422" i="1"/>
  <c r="O422" i="1"/>
  <c r="P422" i="1"/>
  <c r="Q422" i="1"/>
  <c r="R422" i="1"/>
  <c r="S422" i="1"/>
  <c r="K423" i="1"/>
  <c r="L423" i="1"/>
  <c r="M423" i="1"/>
  <c r="N423" i="1"/>
  <c r="O423" i="1"/>
  <c r="P423" i="1"/>
  <c r="Q423" i="1"/>
  <c r="R423" i="1"/>
  <c r="S423" i="1"/>
  <c r="K424" i="1"/>
  <c r="L424" i="1"/>
  <c r="M424" i="1"/>
  <c r="N424" i="1"/>
  <c r="O424" i="1"/>
  <c r="P424" i="1"/>
  <c r="Q424" i="1"/>
  <c r="R424" i="1"/>
  <c r="S424" i="1"/>
  <c r="K425" i="1"/>
  <c r="L425" i="1"/>
  <c r="M425" i="1"/>
  <c r="N425" i="1"/>
  <c r="O425" i="1"/>
  <c r="P425" i="1"/>
  <c r="Q425" i="1"/>
  <c r="R425" i="1"/>
  <c r="S425" i="1"/>
  <c r="K426" i="1"/>
  <c r="L426" i="1"/>
  <c r="M426" i="1"/>
  <c r="N426" i="1"/>
  <c r="O426" i="1"/>
  <c r="P426" i="1"/>
  <c r="Q426" i="1"/>
  <c r="R426" i="1"/>
  <c r="S426" i="1"/>
  <c r="K427" i="1"/>
  <c r="L427" i="1"/>
  <c r="M427" i="1"/>
  <c r="N427" i="1"/>
  <c r="O427" i="1"/>
  <c r="P427" i="1"/>
  <c r="Q427" i="1"/>
  <c r="R427" i="1"/>
  <c r="S427" i="1"/>
  <c r="K428" i="1"/>
  <c r="L428" i="1"/>
  <c r="M428" i="1"/>
  <c r="N428" i="1"/>
  <c r="O428" i="1"/>
  <c r="P428" i="1"/>
  <c r="Q428" i="1"/>
  <c r="R428" i="1"/>
  <c r="S428" i="1"/>
  <c r="K429" i="1"/>
  <c r="L429" i="1"/>
  <c r="M429" i="1"/>
  <c r="N429" i="1"/>
  <c r="O429" i="1"/>
  <c r="P429" i="1"/>
  <c r="Q429" i="1"/>
  <c r="R429" i="1"/>
  <c r="S429" i="1"/>
  <c r="K430" i="1"/>
  <c r="L430" i="1"/>
  <c r="M430" i="1"/>
  <c r="N430" i="1"/>
  <c r="O430" i="1"/>
  <c r="P430" i="1"/>
  <c r="Q430" i="1"/>
  <c r="R430" i="1"/>
  <c r="S430" i="1"/>
  <c r="K431" i="1"/>
  <c r="L431" i="1"/>
  <c r="M431" i="1"/>
  <c r="N431" i="1"/>
  <c r="O431" i="1"/>
  <c r="P431" i="1"/>
  <c r="Q431" i="1"/>
  <c r="R431" i="1"/>
  <c r="S431" i="1"/>
  <c r="K432" i="1"/>
  <c r="L432" i="1"/>
  <c r="M432" i="1"/>
  <c r="N432" i="1"/>
  <c r="O432" i="1"/>
  <c r="P432" i="1"/>
  <c r="Q432" i="1"/>
  <c r="R432" i="1"/>
  <c r="S432" i="1"/>
  <c r="K433" i="1"/>
  <c r="L433" i="1"/>
  <c r="M433" i="1"/>
  <c r="N433" i="1"/>
  <c r="O433" i="1"/>
  <c r="P433" i="1"/>
  <c r="Q433" i="1"/>
  <c r="R433" i="1"/>
  <c r="S433" i="1"/>
  <c r="K434" i="1"/>
  <c r="L434" i="1"/>
  <c r="M434" i="1"/>
  <c r="N434" i="1"/>
  <c r="O434" i="1"/>
  <c r="P434" i="1"/>
  <c r="Q434" i="1"/>
  <c r="R434" i="1"/>
  <c r="S434" i="1"/>
  <c r="K435" i="1"/>
  <c r="L435" i="1"/>
  <c r="M435" i="1"/>
  <c r="N435" i="1"/>
  <c r="O435" i="1"/>
  <c r="P435" i="1"/>
  <c r="Q435" i="1"/>
  <c r="R435" i="1"/>
  <c r="S435" i="1"/>
  <c r="K436" i="1"/>
  <c r="L436" i="1"/>
  <c r="M436" i="1"/>
  <c r="N436" i="1"/>
  <c r="O436" i="1"/>
  <c r="P436" i="1"/>
  <c r="Q436" i="1"/>
  <c r="R436" i="1"/>
  <c r="S436" i="1"/>
  <c r="K437" i="1"/>
  <c r="L437" i="1"/>
  <c r="M437" i="1"/>
  <c r="N437" i="1"/>
  <c r="O437" i="1"/>
  <c r="P437" i="1"/>
  <c r="Q437" i="1"/>
  <c r="R437" i="1"/>
  <c r="S437" i="1"/>
  <c r="K438" i="1"/>
  <c r="L438" i="1"/>
  <c r="M438" i="1"/>
  <c r="N438" i="1"/>
  <c r="O438" i="1"/>
  <c r="P438" i="1"/>
  <c r="Q438" i="1"/>
  <c r="R438" i="1"/>
  <c r="S438" i="1"/>
  <c r="K439" i="1"/>
  <c r="L439" i="1"/>
  <c r="M439" i="1"/>
  <c r="N439" i="1"/>
  <c r="O439" i="1"/>
  <c r="P439" i="1"/>
  <c r="Q439" i="1"/>
  <c r="R439" i="1"/>
  <c r="S439" i="1"/>
  <c r="K440" i="1"/>
  <c r="L440" i="1"/>
  <c r="M440" i="1"/>
  <c r="N440" i="1"/>
  <c r="O440" i="1"/>
  <c r="P440" i="1"/>
  <c r="Q440" i="1"/>
  <c r="R440" i="1"/>
  <c r="S440" i="1"/>
  <c r="K441" i="1"/>
  <c r="L441" i="1"/>
  <c r="M441" i="1"/>
  <c r="N441" i="1"/>
  <c r="O441" i="1"/>
  <c r="P441" i="1"/>
  <c r="Q441" i="1"/>
  <c r="R441" i="1"/>
  <c r="S441" i="1"/>
  <c r="K442" i="1"/>
  <c r="L442" i="1"/>
  <c r="M442" i="1"/>
  <c r="N442" i="1"/>
  <c r="O442" i="1"/>
  <c r="P442" i="1"/>
  <c r="Q442" i="1"/>
  <c r="R442" i="1"/>
  <c r="S442" i="1"/>
  <c r="K443" i="1"/>
  <c r="L443" i="1"/>
  <c r="M443" i="1"/>
  <c r="N443" i="1"/>
  <c r="O443" i="1"/>
  <c r="P443" i="1"/>
  <c r="Q443" i="1"/>
  <c r="R443" i="1"/>
  <c r="S443" i="1"/>
  <c r="K444" i="1"/>
  <c r="L444" i="1"/>
  <c r="M444" i="1"/>
  <c r="N444" i="1"/>
  <c r="O444" i="1"/>
  <c r="P444" i="1"/>
  <c r="Q444" i="1"/>
  <c r="R444" i="1"/>
  <c r="S444" i="1"/>
  <c r="K445" i="1"/>
  <c r="L445" i="1"/>
  <c r="M445" i="1"/>
  <c r="N445" i="1"/>
  <c r="O445" i="1"/>
  <c r="P445" i="1"/>
  <c r="Q445" i="1"/>
  <c r="R445" i="1"/>
  <c r="S445" i="1"/>
  <c r="K446" i="1"/>
  <c r="L446" i="1"/>
  <c r="M446" i="1"/>
  <c r="N446" i="1"/>
  <c r="O446" i="1"/>
  <c r="P446" i="1"/>
  <c r="Q446" i="1"/>
  <c r="R446" i="1"/>
  <c r="S446" i="1"/>
  <c r="K447" i="1"/>
  <c r="L447" i="1"/>
  <c r="M447" i="1"/>
  <c r="N447" i="1"/>
  <c r="O447" i="1"/>
  <c r="P447" i="1"/>
  <c r="Q447" i="1"/>
  <c r="R447" i="1"/>
  <c r="S447" i="1"/>
  <c r="K448" i="1"/>
  <c r="L448" i="1"/>
  <c r="M448" i="1"/>
  <c r="N448" i="1"/>
  <c r="O448" i="1"/>
  <c r="P448" i="1"/>
  <c r="Q448" i="1"/>
  <c r="R448" i="1"/>
  <c r="S448" i="1"/>
  <c r="K449" i="1"/>
  <c r="L449" i="1"/>
  <c r="M449" i="1"/>
  <c r="N449" i="1"/>
  <c r="O449" i="1"/>
  <c r="P449" i="1"/>
  <c r="Q449" i="1"/>
  <c r="R449" i="1"/>
  <c r="S449" i="1"/>
  <c r="K450" i="1"/>
  <c r="L450" i="1"/>
  <c r="M450" i="1"/>
  <c r="N450" i="1"/>
  <c r="O450" i="1"/>
  <c r="P450" i="1"/>
  <c r="Q450" i="1"/>
  <c r="R450" i="1"/>
  <c r="S450" i="1"/>
  <c r="K451" i="1"/>
  <c r="L451" i="1"/>
  <c r="M451" i="1"/>
  <c r="N451" i="1"/>
  <c r="O451" i="1"/>
  <c r="P451" i="1"/>
  <c r="Q451" i="1"/>
  <c r="R451" i="1"/>
  <c r="S451" i="1"/>
  <c r="K452" i="1"/>
  <c r="L452" i="1"/>
  <c r="M452" i="1"/>
  <c r="N452" i="1"/>
  <c r="O452" i="1"/>
  <c r="P452" i="1"/>
  <c r="Q452" i="1"/>
  <c r="R452" i="1"/>
  <c r="S452" i="1"/>
  <c r="K453" i="1"/>
  <c r="L453" i="1"/>
  <c r="M453" i="1"/>
  <c r="N453" i="1"/>
  <c r="O453" i="1"/>
  <c r="P453" i="1"/>
  <c r="Q453" i="1"/>
  <c r="R453" i="1"/>
  <c r="S453" i="1"/>
  <c r="K454" i="1"/>
  <c r="L454" i="1"/>
  <c r="M454" i="1"/>
  <c r="N454" i="1"/>
  <c r="O454" i="1"/>
  <c r="P454" i="1"/>
  <c r="Q454" i="1"/>
  <c r="R454" i="1"/>
  <c r="S454" i="1"/>
  <c r="K455" i="1"/>
  <c r="L455" i="1"/>
  <c r="M455" i="1"/>
  <c r="N455" i="1"/>
  <c r="O455" i="1"/>
  <c r="P455" i="1"/>
  <c r="Q455" i="1"/>
  <c r="R455" i="1"/>
  <c r="S455" i="1"/>
  <c r="K456" i="1"/>
  <c r="L456" i="1"/>
  <c r="M456" i="1"/>
  <c r="N456" i="1"/>
  <c r="O456" i="1"/>
  <c r="P456" i="1"/>
  <c r="Q456" i="1"/>
  <c r="R456" i="1"/>
  <c r="S456" i="1"/>
  <c r="K457" i="1"/>
  <c r="L457" i="1"/>
  <c r="M457" i="1"/>
  <c r="N457" i="1"/>
  <c r="O457" i="1"/>
  <c r="P457" i="1"/>
  <c r="Q457" i="1"/>
  <c r="R457" i="1"/>
  <c r="S457" i="1"/>
  <c r="K458" i="1"/>
  <c r="L458" i="1"/>
  <c r="M458" i="1"/>
  <c r="N458" i="1"/>
  <c r="O458" i="1"/>
  <c r="P458" i="1"/>
  <c r="Q458" i="1"/>
  <c r="R458" i="1"/>
  <c r="S458" i="1"/>
  <c r="K459" i="1"/>
  <c r="L459" i="1"/>
  <c r="M459" i="1"/>
  <c r="N459" i="1"/>
  <c r="O459" i="1"/>
  <c r="P459" i="1"/>
  <c r="Q459" i="1"/>
  <c r="R459" i="1"/>
  <c r="S459" i="1"/>
  <c r="K460" i="1"/>
  <c r="L460" i="1"/>
  <c r="M460" i="1"/>
  <c r="N460" i="1"/>
  <c r="O460" i="1"/>
  <c r="P460" i="1"/>
  <c r="Q460" i="1"/>
  <c r="R460" i="1"/>
  <c r="S460" i="1"/>
  <c r="K461" i="1"/>
  <c r="L461" i="1"/>
  <c r="M461" i="1"/>
  <c r="N461" i="1"/>
  <c r="O461" i="1"/>
  <c r="P461" i="1"/>
  <c r="Q461" i="1"/>
  <c r="R461" i="1"/>
  <c r="S461" i="1"/>
  <c r="K462" i="1"/>
  <c r="L462" i="1"/>
  <c r="M462" i="1"/>
  <c r="N462" i="1"/>
  <c r="O462" i="1"/>
  <c r="P462" i="1"/>
  <c r="Q462" i="1"/>
  <c r="R462" i="1"/>
  <c r="S462" i="1"/>
  <c r="K463" i="1"/>
  <c r="L463" i="1"/>
  <c r="M463" i="1"/>
  <c r="N463" i="1"/>
  <c r="O463" i="1"/>
  <c r="P463" i="1"/>
  <c r="Q463" i="1"/>
  <c r="R463" i="1"/>
  <c r="S463" i="1"/>
  <c r="K464" i="1"/>
  <c r="L464" i="1"/>
  <c r="M464" i="1"/>
  <c r="N464" i="1"/>
  <c r="O464" i="1"/>
  <c r="P464" i="1"/>
  <c r="Q464" i="1"/>
  <c r="R464" i="1"/>
  <c r="S464" i="1"/>
  <c r="K465" i="1"/>
  <c r="L465" i="1"/>
  <c r="M465" i="1"/>
  <c r="N465" i="1"/>
  <c r="O465" i="1"/>
  <c r="P465" i="1"/>
  <c r="Q465" i="1"/>
  <c r="R465" i="1"/>
  <c r="S465" i="1"/>
  <c r="K466" i="1"/>
  <c r="L466" i="1"/>
  <c r="M466" i="1"/>
  <c r="N466" i="1"/>
  <c r="O466" i="1"/>
  <c r="P466" i="1"/>
  <c r="Q466" i="1"/>
  <c r="R466" i="1"/>
  <c r="S466" i="1"/>
  <c r="K467" i="1"/>
  <c r="L467" i="1"/>
  <c r="M467" i="1"/>
  <c r="N467" i="1"/>
  <c r="O467" i="1"/>
  <c r="P467" i="1"/>
  <c r="Q467" i="1"/>
  <c r="R467" i="1"/>
  <c r="S467" i="1"/>
  <c r="K468" i="1"/>
  <c r="L468" i="1"/>
  <c r="M468" i="1"/>
  <c r="N468" i="1"/>
  <c r="O468" i="1"/>
  <c r="P468" i="1"/>
  <c r="Q468" i="1"/>
  <c r="R468" i="1"/>
  <c r="S468" i="1"/>
  <c r="K469" i="1"/>
  <c r="L469" i="1"/>
  <c r="M469" i="1"/>
  <c r="N469" i="1"/>
  <c r="O469" i="1"/>
  <c r="P469" i="1"/>
  <c r="Q469" i="1"/>
  <c r="R469" i="1"/>
  <c r="S469" i="1"/>
  <c r="K470" i="1"/>
  <c r="L470" i="1"/>
  <c r="M470" i="1"/>
  <c r="N470" i="1"/>
  <c r="O470" i="1"/>
  <c r="P470" i="1"/>
  <c r="Q470" i="1"/>
  <c r="R470" i="1"/>
  <c r="S470" i="1"/>
  <c r="K471" i="1"/>
  <c r="L471" i="1"/>
  <c r="M471" i="1"/>
  <c r="N471" i="1"/>
  <c r="O471" i="1"/>
  <c r="P471" i="1"/>
  <c r="Q471" i="1"/>
  <c r="R471" i="1"/>
  <c r="S471" i="1"/>
  <c r="K472" i="1"/>
  <c r="L472" i="1"/>
  <c r="M472" i="1"/>
  <c r="N472" i="1"/>
  <c r="O472" i="1"/>
  <c r="P472" i="1"/>
  <c r="Q472" i="1"/>
  <c r="R472" i="1"/>
  <c r="S472" i="1"/>
  <c r="K473" i="1"/>
  <c r="L473" i="1"/>
  <c r="M473" i="1"/>
  <c r="N473" i="1"/>
  <c r="O473" i="1"/>
  <c r="P473" i="1"/>
  <c r="Q473" i="1"/>
  <c r="R473" i="1"/>
  <c r="S473" i="1"/>
  <c r="K474" i="1"/>
  <c r="L474" i="1"/>
  <c r="M474" i="1"/>
  <c r="N474" i="1"/>
  <c r="O474" i="1"/>
  <c r="P474" i="1"/>
  <c r="Q474" i="1"/>
  <c r="R474" i="1"/>
  <c r="S474" i="1"/>
  <c r="K475" i="1"/>
  <c r="L475" i="1"/>
  <c r="M475" i="1"/>
  <c r="N475" i="1"/>
  <c r="O475" i="1"/>
  <c r="P475" i="1"/>
  <c r="Q475" i="1"/>
  <c r="R475" i="1"/>
  <c r="S475" i="1"/>
  <c r="K476" i="1"/>
  <c r="L476" i="1"/>
  <c r="M476" i="1"/>
  <c r="N476" i="1"/>
  <c r="O476" i="1"/>
  <c r="P476" i="1"/>
  <c r="Q476" i="1"/>
  <c r="R476" i="1"/>
  <c r="S476" i="1"/>
  <c r="K477" i="1"/>
  <c r="L477" i="1"/>
  <c r="M477" i="1"/>
  <c r="N477" i="1"/>
  <c r="O477" i="1"/>
  <c r="P477" i="1"/>
  <c r="Q477" i="1"/>
  <c r="R477" i="1"/>
  <c r="S477" i="1"/>
  <c r="K478" i="1"/>
  <c r="L478" i="1"/>
  <c r="M478" i="1"/>
  <c r="N478" i="1"/>
  <c r="O478" i="1"/>
  <c r="P478" i="1"/>
  <c r="Q478" i="1"/>
  <c r="R478" i="1"/>
  <c r="S478" i="1"/>
  <c r="K479" i="1"/>
  <c r="L479" i="1"/>
  <c r="M479" i="1"/>
  <c r="N479" i="1"/>
  <c r="O479" i="1"/>
  <c r="P479" i="1"/>
  <c r="Q479" i="1"/>
  <c r="R479" i="1"/>
  <c r="S479" i="1"/>
  <c r="K480" i="1"/>
  <c r="L480" i="1"/>
  <c r="M480" i="1"/>
  <c r="N480" i="1"/>
  <c r="O480" i="1"/>
  <c r="P480" i="1"/>
  <c r="Q480" i="1"/>
  <c r="R480" i="1"/>
  <c r="S480" i="1"/>
  <c r="K481" i="1"/>
  <c r="L481" i="1"/>
  <c r="M481" i="1"/>
  <c r="N481" i="1"/>
  <c r="O481" i="1"/>
  <c r="P481" i="1"/>
  <c r="Q481" i="1"/>
  <c r="R481" i="1"/>
  <c r="S481" i="1"/>
  <c r="K482" i="1"/>
  <c r="L482" i="1"/>
  <c r="M482" i="1"/>
  <c r="N482" i="1"/>
  <c r="O482" i="1"/>
  <c r="P482" i="1"/>
  <c r="Q482" i="1"/>
  <c r="R482" i="1"/>
  <c r="S482" i="1"/>
  <c r="K483" i="1"/>
  <c r="L483" i="1"/>
  <c r="M483" i="1"/>
  <c r="N483" i="1"/>
  <c r="O483" i="1"/>
  <c r="P483" i="1"/>
  <c r="Q483" i="1"/>
  <c r="R483" i="1"/>
  <c r="S483" i="1"/>
  <c r="K484" i="1"/>
  <c r="L484" i="1"/>
  <c r="M484" i="1"/>
  <c r="N484" i="1"/>
  <c r="O484" i="1"/>
  <c r="P484" i="1"/>
  <c r="Q484" i="1"/>
  <c r="R484" i="1"/>
  <c r="S484" i="1"/>
  <c r="K485" i="1"/>
  <c r="L485" i="1"/>
  <c r="M485" i="1"/>
  <c r="N485" i="1"/>
  <c r="O485" i="1"/>
  <c r="P485" i="1"/>
  <c r="Q485" i="1"/>
  <c r="R485" i="1"/>
  <c r="S485" i="1"/>
  <c r="K486" i="1"/>
  <c r="L486" i="1"/>
  <c r="M486" i="1"/>
  <c r="N486" i="1"/>
  <c r="O486" i="1"/>
  <c r="P486" i="1"/>
  <c r="Q486" i="1"/>
  <c r="R486" i="1"/>
  <c r="S486" i="1"/>
  <c r="K487" i="1"/>
  <c r="L487" i="1"/>
  <c r="M487" i="1"/>
  <c r="N487" i="1"/>
  <c r="O487" i="1"/>
  <c r="P487" i="1"/>
  <c r="Q487" i="1"/>
  <c r="R487" i="1"/>
  <c r="S487" i="1"/>
  <c r="K488" i="1"/>
  <c r="L488" i="1"/>
  <c r="M488" i="1"/>
  <c r="N488" i="1"/>
  <c r="O488" i="1"/>
  <c r="P488" i="1"/>
  <c r="Q488" i="1"/>
  <c r="R488" i="1"/>
  <c r="S488" i="1"/>
  <c r="K489" i="1"/>
  <c r="L489" i="1"/>
  <c r="M489" i="1"/>
  <c r="N489" i="1"/>
  <c r="O489" i="1"/>
  <c r="P489" i="1"/>
  <c r="Q489" i="1"/>
  <c r="R489" i="1"/>
  <c r="S489" i="1"/>
  <c r="K490" i="1"/>
  <c r="L490" i="1"/>
  <c r="M490" i="1"/>
  <c r="N490" i="1"/>
  <c r="O490" i="1"/>
  <c r="P490" i="1"/>
  <c r="Q490" i="1"/>
  <c r="R490" i="1"/>
  <c r="S490" i="1"/>
  <c r="K491" i="1"/>
  <c r="L491" i="1"/>
  <c r="M491" i="1"/>
  <c r="N491" i="1"/>
  <c r="O491" i="1"/>
  <c r="P491" i="1"/>
  <c r="Q491" i="1"/>
  <c r="R491" i="1"/>
  <c r="S491" i="1"/>
  <c r="K492" i="1"/>
  <c r="L492" i="1"/>
  <c r="M492" i="1"/>
  <c r="N492" i="1"/>
  <c r="O492" i="1"/>
  <c r="P492" i="1"/>
  <c r="Q492" i="1"/>
  <c r="R492" i="1"/>
  <c r="S492" i="1"/>
  <c r="K493" i="1"/>
  <c r="L493" i="1"/>
  <c r="M493" i="1"/>
  <c r="N493" i="1"/>
  <c r="O493" i="1"/>
  <c r="P493" i="1"/>
  <c r="Q493" i="1"/>
  <c r="R493" i="1"/>
  <c r="S493" i="1"/>
  <c r="K494" i="1"/>
  <c r="L494" i="1"/>
  <c r="M494" i="1"/>
  <c r="N494" i="1"/>
  <c r="O494" i="1"/>
  <c r="P494" i="1"/>
  <c r="Q494" i="1"/>
  <c r="R494" i="1"/>
  <c r="S494" i="1"/>
  <c r="K495" i="1"/>
  <c r="L495" i="1"/>
  <c r="M495" i="1"/>
  <c r="N495" i="1"/>
  <c r="O495" i="1"/>
  <c r="P495" i="1"/>
  <c r="Q495" i="1"/>
  <c r="R495" i="1"/>
  <c r="S495" i="1"/>
  <c r="K496" i="1"/>
  <c r="L496" i="1"/>
  <c r="M496" i="1"/>
  <c r="N496" i="1"/>
  <c r="O496" i="1"/>
  <c r="P496" i="1"/>
  <c r="Q496" i="1"/>
  <c r="R496" i="1"/>
  <c r="S496" i="1"/>
  <c r="K497" i="1"/>
  <c r="L497" i="1"/>
  <c r="M497" i="1"/>
  <c r="N497" i="1"/>
  <c r="O497" i="1"/>
  <c r="P497" i="1"/>
  <c r="Q497" i="1"/>
  <c r="R497" i="1"/>
  <c r="S497" i="1"/>
  <c r="K498" i="1"/>
  <c r="L498" i="1"/>
  <c r="M498" i="1"/>
  <c r="N498" i="1"/>
  <c r="O498" i="1"/>
  <c r="P498" i="1"/>
  <c r="Q498" i="1"/>
  <c r="R498" i="1"/>
  <c r="S498" i="1"/>
  <c r="K499" i="1"/>
  <c r="L499" i="1"/>
  <c r="M499" i="1"/>
  <c r="N499" i="1"/>
  <c r="O499" i="1"/>
  <c r="P499" i="1"/>
  <c r="Q499" i="1"/>
  <c r="R499" i="1"/>
  <c r="S499" i="1"/>
  <c r="K500" i="1"/>
  <c r="L500" i="1"/>
  <c r="M500" i="1"/>
  <c r="N500" i="1"/>
  <c r="O500" i="1"/>
  <c r="P500" i="1"/>
  <c r="Q500" i="1"/>
  <c r="R500" i="1"/>
  <c r="S500" i="1"/>
  <c r="K501" i="1"/>
  <c r="L501" i="1"/>
  <c r="M501" i="1"/>
  <c r="N501" i="1"/>
  <c r="O501" i="1"/>
  <c r="P501" i="1"/>
  <c r="Q501" i="1"/>
  <c r="R501" i="1"/>
  <c r="S501" i="1"/>
  <c r="K502" i="1"/>
  <c r="L502" i="1"/>
  <c r="M502" i="1"/>
  <c r="N502" i="1"/>
  <c r="O502" i="1"/>
  <c r="P502" i="1"/>
  <c r="Q502" i="1"/>
  <c r="R502" i="1"/>
  <c r="S502" i="1"/>
  <c r="K503" i="1"/>
  <c r="L503" i="1"/>
  <c r="M503" i="1"/>
  <c r="N503" i="1"/>
  <c r="O503" i="1"/>
  <c r="P503" i="1"/>
  <c r="Q503" i="1"/>
  <c r="R503" i="1"/>
  <c r="S503" i="1"/>
  <c r="K504" i="1"/>
  <c r="L504" i="1"/>
  <c r="M504" i="1"/>
  <c r="N504" i="1"/>
  <c r="O504" i="1"/>
  <c r="P504" i="1"/>
  <c r="Q504" i="1"/>
  <c r="R504" i="1"/>
  <c r="S504" i="1"/>
  <c r="K505" i="1"/>
  <c r="L505" i="1"/>
  <c r="M505" i="1"/>
  <c r="N505" i="1"/>
  <c r="O505" i="1"/>
  <c r="P505" i="1"/>
  <c r="Q505" i="1"/>
  <c r="R505" i="1"/>
  <c r="S505" i="1"/>
  <c r="K506" i="1"/>
  <c r="L506" i="1"/>
  <c r="M506" i="1"/>
  <c r="N506" i="1"/>
  <c r="O506" i="1"/>
  <c r="P506" i="1"/>
  <c r="Q506" i="1"/>
  <c r="R506" i="1"/>
  <c r="S506" i="1"/>
  <c r="K507" i="1"/>
  <c r="L507" i="1"/>
  <c r="M507" i="1"/>
  <c r="N507" i="1"/>
  <c r="O507" i="1"/>
  <c r="P507" i="1"/>
  <c r="Q507" i="1"/>
  <c r="R507" i="1"/>
  <c r="S507" i="1"/>
  <c r="K508" i="1"/>
  <c r="L508" i="1"/>
  <c r="M508" i="1"/>
  <c r="N508" i="1"/>
  <c r="O508" i="1"/>
  <c r="P508" i="1"/>
  <c r="Q508" i="1"/>
  <c r="R508" i="1"/>
  <c r="S508" i="1"/>
  <c r="K509" i="1"/>
  <c r="L509" i="1"/>
  <c r="M509" i="1"/>
  <c r="N509" i="1"/>
  <c r="O509" i="1"/>
  <c r="P509" i="1"/>
  <c r="Q509" i="1"/>
  <c r="R509" i="1"/>
  <c r="S509" i="1"/>
  <c r="K510" i="1"/>
  <c r="L510" i="1"/>
  <c r="M510" i="1"/>
  <c r="N510" i="1"/>
  <c r="O510" i="1"/>
  <c r="P510" i="1"/>
  <c r="Q510" i="1"/>
  <c r="R510" i="1"/>
  <c r="S510" i="1"/>
  <c r="K511" i="1"/>
  <c r="L511" i="1"/>
  <c r="M511" i="1"/>
  <c r="N511" i="1"/>
  <c r="O511" i="1"/>
  <c r="P511" i="1"/>
  <c r="Q511" i="1"/>
  <c r="R511" i="1"/>
  <c r="S511" i="1"/>
  <c r="K512" i="1"/>
  <c r="L512" i="1"/>
  <c r="M512" i="1"/>
  <c r="N512" i="1"/>
  <c r="O512" i="1"/>
  <c r="P512" i="1"/>
  <c r="Q512" i="1"/>
  <c r="R512" i="1"/>
  <c r="S512" i="1"/>
  <c r="K513" i="1"/>
  <c r="L513" i="1"/>
  <c r="M513" i="1"/>
  <c r="N513" i="1"/>
  <c r="O513" i="1"/>
  <c r="P513" i="1"/>
  <c r="Q513" i="1"/>
  <c r="R513" i="1"/>
  <c r="S513" i="1"/>
  <c r="K514" i="1"/>
  <c r="L514" i="1"/>
  <c r="M514" i="1"/>
  <c r="N514" i="1"/>
  <c r="O514" i="1"/>
  <c r="P514" i="1"/>
  <c r="Q514" i="1"/>
  <c r="R514" i="1"/>
  <c r="S514" i="1"/>
  <c r="K515" i="1"/>
  <c r="L515" i="1"/>
  <c r="M515" i="1"/>
  <c r="N515" i="1"/>
  <c r="O515" i="1"/>
  <c r="P515" i="1"/>
  <c r="Q515" i="1"/>
  <c r="R515" i="1"/>
  <c r="S515" i="1"/>
  <c r="K516" i="1"/>
  <c r="L516" i="1"/>
  <c r="M516" i="1"/>
  <c r="N516" i="1"/>
  <c r="O516" i="1"/>
  <c r="P516" i="1"/>
  <c r="Q516" i="1"/>
  <c r="R516" i="1"/>
  <c r="S516" i="1"/>
  <c r="K517" i="1"/>
  <c r="L517" i="1"/>
  <c r="M517" i="1"/>
  <c r="N517" i="1"/>
  <c r="O517" i="1"/>
  <c r="P517" i="1"/>
  <c r="Q517" i="1"/>
  <c r="R517" i="1"/>
  <c r="S517" i="1"/>
  <c r="K518" i="1"/>
  <c r="L518" i="1"/>
  <c r="M518" i="1"/>
  <c r="N518" i="1"/>
  <c r="O518" i="1"/>
  <c r="P518" i="1"/>
  <c r="Q518" i="1"/>
  <c r="R518" i="1"/>
  <c r="S518" i="1"/>
  <c r="K519" i="1"/>
  <c r="L519" i="1"/>
  <c r="M519" i="1"/>
  <c r="N519" i="1"/>
  <c r="O519" i="1"/>
  <c r="P519" i="1"/>
  <c r="Q519" i="1"/>
  <c r="R519" i="1"/>
  <c r="S519" i="1"/>
  <c r="K520" i="1"/>
  <c r="L520" i="1"/>
  <c r="M520" i="1"/>
  <c r="N520" i="1"/>
  <c r="O520" i="1"/>
  <c r="P520" i="1"/>
  <c r="Q520" i="1"/>
  <c r="R520" i="1"/>
  <c r="S520" i="1"/>
  <c r="K521" i="1"/>
  <c r="L521" i="1"/>
  <c r="M521" i="1"/>
  <c r="N521" i="1"/>
  <c r="O521" i="1"/>
  <c r="P521" i="1"/>
  <c r="Q521" i="1"/>
  <c r="R521" i="1"/>
  <c r="S521" i="1"/>
  <c r="K522" i="1"/>
  <c r="L522" i="1"/>
  <c r="M522" i="1"/>
  <c r="N522" i="1"/>
  <c r="O522" i="1"/>
  <c r="P522" i="1"/>
  <c r="Q522" i="1"/>
  <c r="R522" i="1"/>
  <c r="S522" i="1"/>
  <c r="K523" i="1"/>
  <c r="L523" i="1"/>
  <c r="M523" i="1"/>
  <c r="N523" i="1"/>
  <c r="O523" i="1"/>
  <c r="P523" i="1"/>
  <c r="Q523" i="1"/>
  <c r="R523" i="1"/>
  <c r="S523" i="1"/>
  <c r="K524" i="1"/>
  <c r="L524" i="1"/>
  <c r="M524" i="1"/>
  <c r="N524" i="1"/>
  <c r="O524" i="1"/>
  <c r="P524" i="1"/>
  <c r="Q524" i="1"/>
  <c r="R524" i="1"/>
  <c r="S524" i="1"/>
  <c r="K525" i="1"/>
  <c r="L525" i="1"/>
  <c r="M525" i="1"/>
  <c r="N525" i="1"/>
  <c r="O525" i="1"/>
  <c r="P525" i="1"/>
  <c r="Q525" i="1"/>
  <c r="R525" i="1"/>
  <c r="S525" i="1"/>
  <c r="K526" i="1"/>
  <c r="L526" i="1"/>
  <c r="M526" i="1"/>
  <c r="N526" i="1"/>
  <c r="O526" i="1"/>
  <c r="P526" i="1"/>
  <c r="Q526" i="1"/>
  <c r="R526" i="1"/>
  <c r="S526" i="1"/>
  <c r="K527" i="1"/>
  <c r="L527" i="1"/>
  <c r="M527" i="1"/>
  <c r="N527" i="1"/>
  <c r="O527" i="1"/>
  <c r="P527" i="1"/>
  <c r="Q527" i="1"/>
  <c r="R527" i="1"/>
  <c r="S527" i="1"/>
  <c r="K528" i="1"/>
  <c r="L528" i="1"/>
  <c r="M528" i="1"/>
  <c r="N528" i="1"/>
  <c r="O528" i="1"/>
  <c r="P528" i="1"/>
  <c r="Q528" i="1"/>
  <c r="R528" i="1"/>
  <c r="S528" i="1"/>
  <c r="K529" i="1"/>
  <c r="L529" i="1"/>
  <c r="M529" i="1"/>
  <c r="N529" i="1"/>
  <c r="O529" i="1"/>
  <c r="P529" i="1"/>
  <c r="Q529" i="1"/>
  <c r="R529" i="1"/>
  <c r="S529" i="1"/>
  <c r="K530" i="1"/>
  <c r="L530" i="1"/>
  <c r="M530" i="1"/>
  <c r="N530" i="1"/>
  <c r="O530" i="1"/>
  <c r="P530" i="1"/>
  <c r="Q530" i="1"/>
  <c r="R530" i="1"/>
  <c r="S530" i="1"/>
  <c r="K531" i="1"/>
  <c r="L531" i="1"/>
  <c r="M531" i="1"/>
  <c r="N531" i="1"/>
  <c r="O531" i="1"/>
  <c r="P531" i="1"/>
  <c r="Q531" i="1"/>
  <c r="R531" i="1"/>
  <c r="S531" i="1"/>
  <c r="K532" i="1"/>
  <c r="L532" i="1"/>
  <c r="M532" i="1"/>
  <c r="N532" i="1"/>
  <c r="O532" i="1"/>
  <c r="P532" i="1"/>
  <c r="Q532" i="1"/>
  <c r="R532" i="1"/>
  <c r="S532" i="1"/>
  <c r="K533" i="1"/>
  <c r="L533" i="1"/>
  <c r="M533" i="1"/>
  <c r="N533" i="1"/>
  <c r="O533" i="1"/>
  <c r="P533" i="1"/>
  <c r="Q533" i="1"/>
  <c r="R533" i="1"/>
  <c r="S533" i="1"/>
  <c r="K534" i="1"/>
  <c r="L534" i="1"/>
  <c r="M534" i="1"/>
  <c r="N534" i="1"/>
  <c r="O534" i="1"/>
  <c r="P534" i="1"/>
  <c r="Q534" i="1"/>
  <c r="R534" i="1"/>
  <c r="S534" i="1"/>
  <c r="K535" i="1"/>
  <c r="L535" i="1"/>
  <c r="M535" i="1"/>
  <c r="N535" i="1"/>
  <c r="O535" i="1"/>
  <c r="P535" i="1"/>
  <c r="Q535" i="1"/>
  <c r="R535" i="1"/>
  <c r="S535" i="1"/>
  <c r="K536" i="1"/>
  <c r="L536" i="1"/>
  <c r="M536" i="1"/>
  <c r="N536" i="1"/>
  <c r="O536" i="1"/>
  <c r="P536" i="1"/>
  <c r="Q536" i="1"/>
  <c r="R536" i="1"/>
  <c r="S536" i="1"/>
  <c r="K537" i="1"/>
  <c r="L537" i="1"/>
  <c r="M537" i="1"/>
  <c r="N537" i="1"/>
  <c r="O537" i="1"/>
  <c r="P537" i="1"/>
  <c r="Q537" i="1"/>
  <c r="R537" i="1"/>
  <c r="S537" i="1"/>
  <c r="K538" i="1"/>
  <c r="L538" i="1"/>
  <c r="M538" i="1"/>
  <c r="N538" i="1"/>
  <c r="O538" i="1"/>
  <c r="P538" i="1"/>
  <c r="Q538" i="1"/>
  <c r="R538" i="1"/>
  <c r="S538" i="1"/>
  <c r="K539" i="1"/>
  <c r="L539" i="1"/>
  <c r="M539" i="1"/>
  <c r="N539" i="1"/>
  <c r="O539" i="1"/>
  <c r="P539" i="1"/>
  <c r="Q539" i="1"/>
  <c r="R539" i="1"/>
  <c r="S539" i="1"/>
  <c r="K540" i="1"/>
  <c r="L540" i="1"/>
  <c r="M540" i="1"/>
  <c r="N540" i="1"/>
  <c r="O540" i="1"/>
  <c r="P540" i="1"/>
  <c r="Q540" i="1"/>
  <c r="R540" i="1"/>
  <c r="S540" i="1"/>
  <c r="K541" i="1"/>
  <c r="L541" i="1"/>
  <c r="M541" i="1"/>
  <c r="N541" i="1"/>
  <c r="O541" i="1"/>
  <c r="P541" i="1"/>
  <c r="Q541" i="1"/>
  <c r="R541" i="1"/>
  <c r="S541" i="1"/>
  <c r="K542" i="1"/>
  <c r="L542" i="1"/>
  <c r="M542" i="1"/>
  <c r="N542" i="1"/>
  <c r="O542" i="1"/>
  <c r="P542" i="1"/>
  <c r="Q542" i="1"/>
  <c r="R542" i="1"/>
  <c r="S542" i="1"/>
  <c r="K543" i="1"/>
  <c r="L543" i="1"/>
  <c r="M543" i="1"/>
  <c r="N543" i="1"/>
  <c r="O543" i="1"/>
  <c r="P543" i="1"/>
  <c r="Q543" i="1"/>
  <c r="R543" i="1"/>
  <c r="S543" i="1"/>
  <c r="K544" i="1"/>
  <c r="L544" i="1"/>
  <c r="M544" i="1"/>
  <c r="N544" i="1"/>
  <c r="O544" i="1"/>
  <c r="P544" i="1"/>
  <c r="Q544" i="1"/>
  <c r="R544" i="1"/>
  <c r="S544" i="1"/>
  <c r="K545" i="1"/>
  <c r="L545" i="1"/>
  <c r="M545" i="1"/>
  <c r="N545" i="1"/>
  <c r="O545" i="1"/>
  <c r="P545" i="1"/>
  <c r="Q545" i="1"/>
  <c r="R545" i="1"/>
  <c r="S545" i="1"/>
  <c r="K546" i="1"/>
  <c r="L546" i="1"/>
  <c r="M546" i="1"/>
  <c r="N546" i="1"/>
  <c r="O546" i="1"/>
  <c r="P546" i="1"/>
  <c r="Q546" i="1"/>
  <c r="R546" i="1"/>
  <c r="S546" i="1"/>
  <c r="K547" i="1"/>
  <c r="L547" i="1"/>
  <c r="M547" i="1"/>
  <c r="N547" i="1"/>
  <c r="O547" i="1"/>
  <c r="P547" i="1"/>
  <c r="Q547" i="1"/>
  <c r="R547" i="1"/>
  <c r="S547" i="1"/>
  <c r="K548" i="1"/>
  <c r="L548" i="1"/>
  <c r="M548" i="1"/>
  <c r="N548" i="1"/>
  <c r="O548" i="1"/>
  <c r="P548" i="1"/>
  <c r="Q548" i="1"/>
  <c r="R548" i="1"/>
  <c r="S548" i="1"/>
  <c r="K549" i="1"/>
  <c r="L549" i="1"/>
  <c r="M549" i="1"/>
  <c r="N549" i="1"/>
  <c r="O549" i="1"/>
  <c r="P549" i="1"/>
  <c r="Q549" i="1"/>
  <c r="R549" i="1"/>
  <c r="S549" i="1"/>
  <c r="K550" i="1"/>
  <c r="L550" i="1"/>
  <c r="M550" i="1"/>
  <c r="N550" i="1"/>
  <c r="O550" i="1"/>
  <c r="P550" i="1"/>
  <c r="Q550" i="1"/>
  <c r="R550" i="1"/>
  <c r="S550" i="1"/>
  <c r="K551" i="1"/>
  <c r="L551" i="1"/>
  <c r="M551" i="1"/>
  <c r="N551" i="1"/>
  <c r="O551" i="1"/>
  <c r="P551" i="1"/>
  <c r="Q551" i="1"/>
  <c r="R551" i="1"/>
  <c r="S551" i="1"/>
  <c r="K552" i="1"/>
  <c r="L552" i="1"/>
  <c r="M552" i="1"/>
  <c r="N552" i="1"/>
  <c r="O552" i="1"/>
  <c r="P552" i="1"/>
  <c r="Q552" i="1"/>
  <c r="R552" i="1"/>
  <c r="S552" i="1"/>
  <c r="K553" i="1"/>
  <c r="L553" i="1"/>
  <c r="M553" i="1"/>
  <c r="N553" i="1"/>
  <c r="O553" i="1"/>
  <c r="P553" i="1"/>
  <c r="Q553" i="1"/>
  <c r="R553" i="1"/>
  <c r="S553" i="1"/>
  <c r="K554" i="1"/>
  <c r="L554" i="1"/>
  <c r="M554" i="1"/>
  <c r="N554" i="1"/>
  <c r="O554" i="1"/>
  <c r="P554" i="1"/>
  <c r="Q554" i="1"/>
  <c r="R554" i="1"/>
  <c r="S554" i="1"/>
  <c r="K555" i="1"/>
  <c r="L555" i="1"/>
  <c r="M555" i="1"/>
  <c r="N555" i="1"/>
  <c r="O555" i="1"/>
  <c r="P555" i="1"/>
  <c r="Q555" i="1"/>
  <c r="R555" i="1"/>
  <c r="S555" i="1"/>
  <c r="K556" i="1"/>
  <c r="L556" i="1"/>
  <c r="M556" i="1"/>
  <c r="N556" i="1"/>
  <c r="O556" i="1"/>
  <c r="P556" i="1"/>
  <c r="Q556" i="1"/>
  <c r="R556" i="1"/>
  <c r="S556" i="1"/>
  <c r="K557" i="1"/>
  <c r="L557" i="1"/>
  <c r="M557" i="1"/>
  <c r="N557" i="1"/>
  <c r="O557" i="1"/>
  <c r="P557" i="1"/>
  <c r="Q557" i="1"/>
  <c r="R557" i="1"/>
  <c r="S557" i="1"/>
  <c r="K558" i="1"/>
  <c r="L558" i="1"/>
  <c r="M558" i="1"/>
  <c r="N558" i="1"/>
  <c r="O558" i="1"/>
  <c r="P558" i="1"/>
  <c r="Q558" i="1"/>
  <c r="R558" i="1"/>
  <c r="S558" i="1"/>
  <c r="K559" i="1"/>
  <c r="L559" i="1"/>
  <c r="M559" i="1"/>
  <c r="N559" i="1"/>
  <c r="O559" i="1"/>
  <c r="P559" i="1"/>
  <c r="Q559" i="1"/>
  <c r="R559" i="1"/>
  <c r="S559" i="1"/>
  <c r="K560" i="1"/>
  <c r="L560" i="1"/>
  <c r="M560" i="1"/>
  <c r="N560" i="1"/>
  <c r="O560" i="1"/>
  <c r="P560" i="1"/>
  <c r="Q560" i="1"/>
  <c r="R560" i="1"/>
  <c r="S560" i="1"/>
  <c r="K561" i="1"/>
  <c r="L561" i="1"/>
  <c r="M561" i="1"/>
  <c r="N561" i="1"/>
  <c r="O561" i="1"/>
  <c r="P561" i="1"/>
  <c r="Q561" i="1"/>
  <c r="R561" i="1"/>
  <c r="S561" i="1"/>
  <c r="K562" i="1"/>
  <c r="L562" i="1"/>
  <c r="M562" i="1"/>
  <c r="N562" i="1"/>
  <c r="O562" i="1"/>
  <c r="P562" i="1"/>
  <c r="Q562" i="1"/>
  <c r="R562" i="1"/>
  <c r="S562" i="1"/>
  <c r="K563" i="1"/>
  <c r="L563" i="1"/>
  <c r="M563" i="1"/>
  <c r="N563" i="1"/>
  <c r="O563" i="1"/>
  <c r="P563" i="1"/>
  <c r="Q563" i="1"/>
  <c r="R563" i="1"/>
  <c r="S563" i="1"/>
  <c r="K564" i="1"/>
  <c r="L564" i="1"/>
  <c r="M564" i="1"/>
  <c r="N564" i="1"/>
  <c r="O564" i="1"/>
  <c r="P564" i="1"/>
  <c r="Q564" i="1"/>
  <c r="R564" i="1"/>
  <c r="S564" i="1"/>
  <c r="K565" i="1"/>
  <c r="L565" i="1"/>
  <c r="M565" i="1"/>
  <c r="N565" i="1"/>
  <c r="O565" i="1"/>
  <c r="P565" i="1"/>
  <c r="Q565" i="1"/>
  <c r="R565" i="1"/>
  <c r="S565" i="1"/>
  <c r="K566" i="1"/>
  <c r="L566" i="1"/>
  <c r="M566" i="1"/>
  <c r="N566" i="1"/>
  <c r="O566" i="1"/>
  <c r="P566" i="1"/>
  <c r="Q566" i="1"/>
  <c r="R566" i="1"/>
  <c r="S566" i="1"/>
  <c r="K567" i="1"/>
  <c r="L567" i="1"/>
  <c r="M567" i="1"/>
  <c r="N567" i="1"/>
  <c r="O567" i="1"/>
  <c r="P567" i="1"/>
  <c r="Q567" i="1"/>
  <c r="R567" i="1"/>
  <c r="S567" i="1"/>
  <c r="K568" i="1"/>
  <c r="L568" i="1"/>
  <c r="M568" i="1"/>
  <c r="N568" i="1"/>
  <c r="O568" i="1"/>
  <c r="P568" i="1"/>
  <c r="Q568" i="1"/>
  <c r="R568" i="1"/>
  <c r="S568" i="1"/>
  <c r="K569" i="1"/>
  <c r="L569" i="1"/>
  <c r="M569" i="1"/>
  <c r="N569" i="1"/>
  <c r="O569" i="1"/>
  <c r="P569" i="1"/>
  <c r="Q569" i="1"/>
  <c r="R569" i="1"/>
  <c r="S569" i="1"/>
  <c r="K570" i="1"/>
  <c r="L570" i="1"/>
  <c r="M570" i="1"/>
  <c r="N570" i="1"/>
  <c r="O570" i="1"/>
  <c r="P570" i="1"/>
  <c r="Q570" i="1"/>
  <c r="R570" i="1"/>
  <c r="S570" i="1"/>
  <c r="K571" i="1"/>
  <c r="L571" i="1"/>
  <c r="M571" i="1"/>
  <c r="N571" i="1"/>
  <c r="O571" i="1"/>
  <c r="P571" i="1"/>
  <c r="Q571" i="1"/>
  <c r="R571" i="1"/>
  <c r="S571" i="1"/>
  <c r="K572" i="1"/>
  <c r="L572" i="1"/>
  <c r="M572" i="1"/>
  <c r="N572" i="1"/>
  <c r="O572" i="1"/>
  <c r="P572" i="1"/>
  <c r="Q572" i="1"/>
  <c r="R572" i="1"/>
  <c r="S572" i="1"/>
  <c r="K573" i="1"/>
  <c r="L573" i="1"/>
  <c r="M573" i="1"/>
  <c r="N573" i="1"/>
  <c r="O573" i="1"/>
  <c r="P573" i="1"/>
  <c r="Q573" i="1"/>
  <c r="R573" i="1"/>
  <c r="S573" i="1"/>
  <c r="K574" i="1"/>
  <c r="L574" i="1"/>
  <c r="M574" i="1"/>
  <c r="N574" i="1"/>
  <c r="O574" i="1"/>
  <c r="P574" i="1"/>
  <c r="Q574" i="1"/>
  <c r="R574" i="1"/>
  <c r="S574" i="1"/>
  <c r="K575" i="1"/>
  <c r="L575" i="1"/>
  <c r="M575" i="1"/>
  <c r="N575" i="1"/>
  <c r="O575" i="1"/>
  <c r="P575" i="1"/>
  <c r="Q575" i="1"/>
  <c r="R575" i="1"/>
  <c r="S575" i="1"/>
  <c r="K576" i="1"/>
  <c r="L576" i="1"/>
  <c r="M576" i="1"/>
  <c r="N576" i="1"/>
  <c r="O576" i="1"/>
  <c r="P576" i="1"/>
  <c r="Q576" i="1"/>
  <c r="R576" i="1"/>
  <c r="S576" i="1"/>
  <c r="K577" i="1"/>
  <c r="L577" i="1"/>
  <c r="M577" i="1"/>
  <c r="N577" i="1"/>
  <c r="O577" i="1"/>
  <c r="P577" i="1"/>
  <c r="Q577" i="1"/>
  <c r="R577" i="1"/>
  <c r="S577" i="1"/>
  <c r="K578" i="1"/>
  <c r="L578" i="1"/>
  <c r="M578" i="1"/>
  <c r="N578" i="1"/>
  <c r="O578" i="1"/>
  <c r="P578" i="1"/>
  <c r="Q578" i="1"/>
  <c r="R578" i="1"/>
  <c r="S578" i="1"/>
  <c r="K579" i="1"/>
  <c r="L579" i="1"/>
  <c r="M579" i="1"/>
  <c r="N579" i="1"/>
  <c r="O579" i="1"/>
  <c r="P579" i="1"/>
  <c r="Q579" i="1"/>
  <c r="R579" i="1"/>
  <c r="S579" i="1"/>
  <c r="K580" i="1"/>
  <c r="L580" i="1"/>
  <c r="M580" i="1"/>
  <c r="N580" i="1"/>
  <c r="O580" i="1"/>
  <c r="P580" i="1"/>
  <c r="Q580" i="1"/>
  <c r="R580" i="1"/>
  <c r="S580" i="1"/>
  <c r="K581" i="1"/>
  <c r="L581" i="1"/>
  <c r="M581" i="1"/>
  <c r="N581" i="1"/>
  <c r="O581" i="1"/>
  <c r="P581" i="1"/>
  <c r="Q581" i="1"/>
  <c r="R581" i="1"/>
  <c r="S581" i="1"/>
  <c r="K582" i="1"/>
  <c r="L582" i="1"/>
  <c r="M582" i="1"/>
  <c r="N582" i="1"/>
  <c r="O582" i="1"/>
  <c r="P582" i="1"/>
  <c r="Q582" i="1"/>
  <c r="R582" i="1"/>
  <c r="S582" i="1"/>
  <c r="K583" i="1"/>
  <c r="L583" i="1"/>
  <c r="M583" i="1"/>
  <c r="N583" i="1"/>
  <c r="O583" i="1"/>
  <c r="P583" i="1"/>
  <c r="Q583" i="1"/>
  <c r="R583" i="1"/>
  <c r="S583" i="1"/>
  <c r="K584" i="1"/>
  <c r="L584" i="1"/>
  <c r="M584" i="1"/>
  <c r="N584" i="1"/>
  <c r="O584" i="1"/>
  <c r="P584" i="1"/>
  <c r="Q584" i="1"/>
  <c r="R584" i="1"/>
  <c r="S584" i="1"/>
  <c r="K585" i="1"/>
  <c r="L585" i="1"/>
  <c r="M585" i="1"/>
  <c r="N585" i="1"/>
  <c r="O585" i="1"/>
  <c r="P585" i="1"/>
  <c r="Q585" i="1"/>
  <c r="R585" i="1"/>
  <c r="S585" i="1"/>
  <c r="K586" i="1"/>
  <c r="L586" i="1"/>
  <c r="M586" i="1"/>
  <c r="N586" i="1"/>
  <c r="O586" i="1"/>
  <c r="P586" i="1"/>
  <c r="Q586" i="1"/>
  <c r="R586" i="1"/>
  <c r="S586" i="1"/>
  <c r="K587" i="1"/>
  <c r="L587" i="1"/>
  <c r="M587" i="1"/>
  <c r="N587" i="1"/>
  <c r="O587" i="1"/>
  <c r="P587" i="1"/>
  <c r="Q587" i="1"/>
  <c r="R587" i="1"/>
  <c r="S587" i="1"/>
  <c r="K588" i="1"/>
  <c r="L588" i="1"/>
  <c r="M588" i="1"/>
  <c r="N588" i="1"/>
  <c r="O588" i="1"/>
  <c r="P588" i="1"/>
  <c r="Q588" i="1"/>
  <c r="R588" i="1"/>
  <c r="S588" i="1"/>
  <c r="K589" i="1"/>
  <c r="L589" i="1"/>
  <c r="M589" i="1"/>
  <c r="N589" i="1"/>
  <c r="O589" i="1"/>
  <c r="P589" i="1"/>
  <c r="Q589" i="1"/>
  <c r="R589" i="1"/>
  <c r="S589" i="1"/>
  <c r="K590" i="1"/>
  <c r="L590" i="1"/>
  <c r="M590" i="1"/>
  <c r="N590" i="1"/>
  <c r="O590" i="1"/>
  <c r="P590" i="1"/>
  <c r="Q590" i="1"/>
  <c r="R590" i="1"/>
  <c r="S590" i="1"/>
  <c r="K591" i="1"/>
  <c r="L591" i="1"/>
  <c r="M591" i="1"/>
  <c r="N591" i="1"/>
  <c r="O591" i="1"/>
  <c r="P591" i="1"/>
  <c r="Q591" i="1"/>
  <c r="R591" i="1"/>
  <c r="S591" i="1"/>
  <c r="K592" i="1"/>
  <c r="L592" i="1"/>
  <c r="M592" i="1"/>
  <c r="N592" i="1"/>
  <c r="O592" i="1"/>
  <c r="P592" i="1"/>
  <c r="Q592" i="1"/>
  <c r="R592" i="1"/>
  <c r="S592" i="1"/>
  <c r="K593" i="1"/>
  <c r="L593" i="1"/>
  <c r="M593" i="1"/>
  <c r="N593" i="1"/>
  <c r="O593" i="1"/>
  <c r="P593" i="1"/>
  <c r="Q593" i="1"/>
  <c r="R593" i="1"/>
  <c r="S593" i="1"/>
  <c r="K594" i="1"/>
  <c r="L594" i="1"/>
  <c r="M594" i="1"/>
  <c r="N594" i="1"/>
  <c r="O594" i="1"/>
  <c r="P594" i="1"/>
  <c r="Q594" i="1"/>
  <c r="R594" i="1"/>
  <c r="S594" i="1"/>
  <c r="K595" i="1"/>
  <c r="L595" i="1"/>
  <c r="M595" i="1"/>
  <c r="N595" i="1"/>
  <c r="O595" i="1"/>
  <c r="P595" i="1"/>
  <c r="Q595" i="1"/>
  <c r="R595" i="1"/>
  <c r="S595" i="1"/>
  <c r="K596" i="1"/>
  <c r="L596" i="1"/>
  <c r="M596" i="1"/>
  <c r="N596" i="1"/>
  <c r="O596" i="1"/>
  <c r="P596" i="1"/>
  <c r="Q596" i="1"/>
  <c r="R596" i="1"/>
  <c r="S596" i="1"/>
  <c r="K597" i="1"/>
  <c r="L597" i="1"/>
  <c r="M597" i="1"/>
  <c r="N597" i="1"/>
  <c r="O597" i="1"/>
  <c r="P597" i="1"/>
  <c r="Q597" i="1"/>
  <c r="R597" i="1"/>
  <c r="S597" i="1"/>
  <c r="K598" i="1"/>
  <c r="L598" i="1"/>
  <c r="M598" i="1"/>
  <c r="N598" i="1"/>
  <c r="O598" i="1"/>
  <c r="P598" i="1"/>
  <c r="Q598" i="1"/>
  <c r="R598" i="1"/>
  <c r="S598" i="1"/>
  <c r="K599" i="1"/>
  <c r="L599" i="1"/>
  <c r="M599" i="1"/>
  <c r="N599" i="1"/>
  <c r="O599" i="1"/>
  <c r="P599" i="1"/>
  <c r="Q599" i="1"/>
  <c r="R599" i="1"/>
  <c r="S599" i="1"/>
  <c r="K600" i="1"/>
  <c r="L600" i="1"/>
  <c r="M600" i="1"/>
  <c r="N600" i="1"/>
  <c r="O600" i="1"/>
  <c r="P600" i="1"/>
  <c r="Q600" i="1"/>
  <c r="R600" i="1"/>
  <c r="S600" i="1"/>
  <c r="K601" i="1"/>
  <c r="L601" i="1"/>
  <c r="M601" i="1"/>
  <c r="N601" i="1"/>
  <c r="O601" i="1"/>
  <c r="P601" i="1"/>
  <c r="Q601" i="1"/>
  <c r="R601" i="1"/>
  <c r="S601" i="1"/>
  <c r="K602" i="1"/>
  <c r="L602" i="1"/>
  <c r="M602" i="1"/>
  <c r="N602" i="1"/>
  <c r="O602" i="1"/>
  <c r="P602" i="1"/>
  <c r="Q602" i="1"/>
  <c r="R602" i="1"/>
  <c r="S602" i="1"/>
  <c r="K603" i="1"/>
  <c r="L603" i="1"/>
  <c r="M603" i="1"/>
  <c r="N603" i="1"/>
  <c r="O603" i="1"/>
  <c r="P603" i="1"/>
  <c r="Q603" i="1"/>
  <c r="R603" i="1"/>
  <c r="S603" i="1"/>
  <c r="K604" i="1"/>
  <c r="L604" i="1"/>
  <c r="M604" i="1"/>
  <c r="N604" i="1"/>
  <c r="O604" i="1"/>
  <c r="P604" i="1"/>
  <c r="Q604" i="1"/>
  <c r="R604" i="1"/>
  <c r="S604" i="1"/>
  <c r="K605" i="1"/>
  <c r="L605" i="1"/>
  <c r="M605" i="1"/>
  <c r="N605" i="1"/>
  <c r="O605" i="1"/>
  <c r="P605" i="1"/>
  <c r="Q605" i="1"/>
  <c r="R605" i="1"/>
  <c r="S605" i="1"/>
  <c r="K606" i="1"/>
  <c r="L606" i="1"/>
  <c r="M606" i="1"/>
  <c r="N606" i="1"/>
  <c r="O606" i="1"/>
  <c r="P606" i="1"/>
  <c r="Q606" i="1"/>
  <c r="R606" i="1"/>
  <c r="S606" i="1"/>
  <c r="K607" i="1"/>
  <c r="L607" i="1"/>
  <c r="M607" i="1"/>
  <c r="N607" i="1"/>
  <c r="O607" i="1"/>
  <c r="P607" i="1"/>
  <c r="Q607" i="1"/>
  <c r="R607" i="1"/>
  <c r="S607" i="1"/>
  <c r="K608" i="1"/>
  <c r="L608" i="1"/>
  <c r="M608" i="1"/>
  <c r="N608" i="1"/>
  <c r="O608" i="1"/>
  <c r="P608" i="1"/>
  <c r="Q608" i="1"/>
  <c r="R608" i="1"/>
  <c r="S608" i="1"/>
  <c r="K609" i="1"/>
  <c r="L609" i="1"/>
  <c r="M609" i="1"/>
  <c r="N609" i="1"/>
  <c r="O609" i="1"/>
  <c r="P609" i="1"/>
  <c r="Q609" i="1"/>
  <c r="R609" i="1"/>
  <c r="S609" i="1"/>
  <c r="K610" i="1"/>
  <c r="L610" i="1"/>
  <c r="M610" i="1"/>
  <c r="N610" i="1"/>
  <c r="O610" i="1"/>
  <c r="P610" i="1"/>
  <c r="Q610" i="1"/>
  <c r="R610" i="1"/>
  <c r="S610" i="1"/>
  <c r="K611" i="1"/>
  <c r="L611" i="1"/>
  <c r="M611" i="1"/>
  <c r="N611" i="1"/>
  <c r="O611" i="1"/>
  <c r="P611" i="1"/>
  <c r="Q611" i="1"/>
  <c r="R611" i="1"/>
  <c r="S611" i="1"/>
</calcChain>
</file>

<file path=xl/sharedStrings.xml><?xml version="1.0" encoding="utf-8"?>
<sst xmlns="http://schemas.openxmlformats.org/spreadsheetml/2006/main" count="1189" uniqueCount="25">
  <si>
    <t>Feb</t>
  </si>
  <si>
    <t>Clear</t>
  </si>
  <si>
    <t>Spring</t>
  </si>
  <si>
    <t>Mist</t>
  </si>
  <si>
    <t>Light Rain</t>
  </si>
  <si>
    <t>Jan</t>
  </si>
  <si>
    <t>Month_Name</t>
  </si>
  <si>
    <t>Weather_Name</t>
  </si>
  <si>
    <t>Season_Name</t>
  </si>
  <si>
    <t>Count</t>
  </si>
  <si>
    <t>Registered</t>
  </si>
  <si>
    <t>Casual</t>
  </si>
  <si>
    <t>Windspeed</t>
  </si>
  <si>
    <t>Humidity</t>
  </si>
  <si>
    <t>AntTemp</t>
  </si>
  <si>
    <t>Temperature</t>
  </si>
  <si>
    <t>Weathersituation</t>
  </si>
  <si>
    <t>Weekday</t>
  </si>
  <si>
    <t>Holiday</t>
  </si>
  <si>
    <t>Hour</t>
  </si>
  <si>
    <t>Month</t>
  </si>
  <si>
    <t>Year</t>
  </si>
  <si>
    <t>Season</t>
  </si>
  <si>
    <t>Date</t>
  </si>
  <si>
    <t>Intents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</si>
</sst>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5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relativeIndent="1" justifyLastLine="0" shrinkToFit="0" readingOrder="0"/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Data%202%20Raw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2"/>
    </sheetNames>
    <sheetDataSet>
      <sheetData sheetId="0"/>
    </sheetDataSet>
  </externalBook>
</externalLink>
</file>

<file path=xl/tables/table1.xml><?xml version="1.0" encoding="utf-8"?>
<table xmlns="http://schemas.openxmlformats.org/spreadsheetml/2006/main" id="1" name="BikeData" displayName="BikeData" ref="A1:S1001" totalsRowShown="0" headerRowDxfId="11">
  <autoFilter ref="A1:S1001"/>
  <tableColumns count="19">
    <tableColumn id="1" name="Intents"/>
    <tableColumn id="2" name="Date" dataDxfId="10"/>
    <tableColumn id="3" name="Season"/>
    <tableColumn id="4" name="Year"/>
    <tableColumn id="5" name="Month"/>
    <tableColumn id="6" name="Hour"/>
    <tableColumn id="7" name="Holiday"/>
    <tableColumn id="8" name="Weekday"/>
    <tableColumn id="9" name="Weathersituation"/>
    <tableColumn id="10" name="Temperature"/>
    <tableColumn id="22" name="AntTemp" dataDxfId="9">
      <calculatedColumnFormula>BikeData[[#This Row],[Temperature]]</calculatedColumnFormula>
    </tableColumn>
    <tableColumn id="11" name="Humidity" dataDxfId="8">
      <calculatedColumnFormula>IFERROR(VLOOKUP(BikeData[[#This Row],[Intents]],[1]!Table2[#Data],3,FALSE),"")</calculatedColumnFormula>
    </tableColumn>
    <tableColumn id="12" name="Windspeed" dataDxfId="7">
      <calculatedColumnFormula>IFERROR(VLOOKUP(BikeData[[#This Row],[Intents]],[1]!Table2[#Data],4,FALSE),"")</calculatedColumnFormula>
    </tableColumn>
    <tableColumn id="16" name="Casual" dataDxfId="6">
      <calculatedColumnFormula>IFERROR(VLOOKUP(BikeData[[#This Row],[Intents]],[1]!Table2[#Data],5,FALSE),"")</calculatedColumnFormula>
    </tableColumn>
    <tableColumn id="15" name="Registered" dataDxfId="5">
      <calculatedColumnFormula>IFERROR(VLOOKUP(BikeData[[#This Row],[Intents]],[1]!Table2[#Data],6,FALSE),"")</calculatedColumnFormula>
    </tableColumn>
    <tableColumn id="14" name="Count" dataDxfId="4">
      <calculatedColumnFormula>IFERROR(VLOOKUP(BikeData[[#This Row],[Intents]],[1]!Table2[#Data],7,FALSE),"")</calculatedColumnFormula>
    </tableColumn>
    <tableColumn id="17" name="Season_Name" dataDxfId="3">
      <calculatedColumnFormula>CHOOSE(BikeData[[#This Row],[Season]],"Spring","Summer","Fall","Winter")</calculatedColumnFormula>
    </tableColumn>
    <tableColumn id="18" name="Weather_Name" dataDxfId="2">
      <calculatedColumnFormula>CHOOSE(BikeData[[#This Row],[Weathersituation]],"Clear","Mist","Light Rain","Heavy Rain")</calculatedColumnFormula>
    </tableColumn>
    <tableColumn id="19" name="Month_Name" dataDxfId="1">
      <calculatedColumnFormula>TEXT(BikeData[[#This Row],[Date]],"mmm")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zoomScale="88" zoomScaleNormal="88" workbookViewId="0">
      <pane ySplit="1" topLeftCell="A2" activePane="bottomLeft" state="frozen"/>
      <selection pane="bottomLeft" activeCell="E24" sqref="E24"/>
    </sheetView>
  </sheetViews>
  <sheetFormatPr defaultRowHeight="14.4" x14ac:dyDescent="0.3"/>
  <cols>
    <col min="1" max="1" width="10.33203125" customWidth="1"/>
    <col min="2" max="2" width="11.6640625" customWidth="1"/>
    <col min="3" max="3" width="9.77734375" customWidth="1"/>
    <col min="4" max="4" width="7.21875" customWidth="1"/>
    <col min="5" max="5" width="9.44140625" customWidth="1"/>
    <col min="6" max="6" width="7.6640625" customWidth="1"/>
    <col min="7" max="7" width="10" customWidth="1"/>
    <col min="8" max="8" width="12" customWidth="1"/>
    <col min="9" max="9" width="19" customWidth="1"/>
    <col min="10" max="10" width="15.109375" customWidth="1"/>
    <col min="11" max="11" width="11.44140625" style="1" customWidth="1"/>
    <col min="12" max="12" width="11.44140625" customWidth="1"/>
    <col min="13" max="13" width="13.44140625" customWidth="1"/>
    <col min="14" max="14" width="9.5546875" customWidth="1"/>
    <col min="15" max="15" width="12.6640625" customWidth="1"/>
    <col min="17" max="17" width="16" customWidth="1"/>
    <col min="18" max="18" width="17.5546875" customWidth="1"/>
    <col min="19" max="19" width="15.77734375" customWidth="1"/>
  </cols>
  <sheetData>
    <row r="1" spans="1:19" s="7" customFormat="1" ht="15.6" x14ac:dyDescent="0.3">
      <c r="A1" s="7" t="s">
        <v>24</v>
      </c>
      <c r="B1" s="7" t="s">
        <v>23</v>
      </c>
      <c r="C1" s="7" t="s">
        <v>22</v>
      </c>
      <c r="D1" s="7" t="s">
        <v>21</v>
      </c>
      <c r="E1" s="7" t="s">
        <v>20</v>
      </c>
      <c r="F1" s="7" t="s">
        <v>19</v>
      </c>
      <c r="G1" s="7" t="s">
        <v>18</v>
      </c>
      <c r="H1" s="7" t="s">
        <v>17</v>
      </c>
      <c r="I1" s="7" t="s">
        <v>16</v>
      </c>
      <c r="J1" s="7" t="s">
        <v>15</v>
      </c>
      <c r="K1" s="9" t="s">
        <v>14</v>
      </c>
      <c r="L1" s="8" t="s">
        <v>13</v>
      </c>
      <c r="M1" s="8" t="s">
        <v>12</v>
      </c>
      <c r="N1" s="8" t="s">
        <v>11</v>
      </c>
      <c r="O1" s="8" t="s">
        <v>10</v>
      </c>
      <c r="P1" s="8" t="s">
        <v>9</v>
      </c>
      <c r="Q1" s="8" t="s">
        <v>8</v>
      </c>
      <c r="R1" s="8" t="s">
        <v>7</v>
      </c>
      <c r="S1" s="8" t="s">
        <v>6</v>
      </c>
    </row>
    <row r="2" spans="1:19" x14ac:dyDescent="0.3">
      <c r="A2">
        <v>1</v>
      </c>
      <c r="B2" s="5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 s="6">
        <f>BikeData[[#This Row],[Temperature]]</f>
        <v>0.24</v>
      </c>
      <c r="L2">
        <f>IFERROR(VLOOKUP(BikeData[[#This Row],[Intents]],[1]!Table2[#Data],3,FALSE),"")</f>
        <v>0.81</v>
      </c>
      <c r="M2">
        <v>0</v>
      </c>
      <c r="N2">
        <f>IFERROR(VLOOKUP(BikeData[[#This Row],[Intents]],[1]!Table2[#Data],5,FALSE),"")</f>
        <v>3</v>
      </c>
      <c r="O2">
        <f>IFERROR(VLOOKUP(BikeData[[#This Row],[Intents]],[1]!Table2[#Data],6,FALSE),"")</f>
        <v>13</v>
      </c>
      <c r="P2">
        <f>IFERROR(VLOOKUP(BikeData[[#This Row],[Intents]],[1]!Table2[#Data],7,FALSE),"")</f>
        <v>16</v>
      </c>
      <c r="Q2" s="2" t="str">
        <f>CHOOSE(BikeData[[#This Row],[Season]],"Spring","Summer","Fall","Winter")</f>
        <v>Spring</v>
      </c>
      <c r="R2" s="2" t="str">
        <f>CHOOSE(BikeData[[#This Row],[Weathersituation]],"Clear","Mist","Light Rain","Heavy Rain")</f>
        <v>Clear</v>
      </c>
      <c r="S2" s="2" t="str">
        <f>TEXT(BikeData[[#This Row],[Date]],"mmm")</f>
        <v>Jan</v>
      </c>
    </row>
    <row r="3" spans="1:19" x14ac:dyDescent="0.3">
      <c r="A3">
        <v>2</v>
      </c>
      <c r="B3" s="5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 s="6">
        <f>BikeData[[#This Row],[Temperature]]</f>
        <v>0.22</v>
      </c>
      <c r="L3">
        <f>IFERROR(VLOOKUP(BikeData[[#This Row],[Intents]],[1]!Table2[#Data],3,FALSE),"")</f>
        <v>0.8</v>
      </c>
      <c r="M3">
        <f>IFERROR(VLOOKUP(BikeData[[#This Row],[Intents]],[1]!Table2[#Data],4,FALSE),"")</f>
        <v>0</v>
      </c>
      <c r="N3">
        <f>IFERROR(VLOOKUP(BikeData[[#This Row],[Intents]],[1]!Table2[#Data],5,FALSE),"")</f>
        <v>8</v>
      </c>
      <c r="O3">
        <f>IFERROR(VLOOKUP(BikeData[[#This Row],[Intents]],[1]!Table2[#Data],6,FALSE),"")</f>
        <v>32</v>
      </c>
      <c r="P3">
        <f>IFERROR(VLOOKUP(BikeData[[#This Row],[Intents]],[1]!Table2[#Data],7,FALSE),"")</f>
        <v>40</v>
      </c>
      <c r="Q3" s="2" t="str">
        <f>CHOOSE(BikeData[[#This Row],[Season]],"Spring","Summer","Fall","Winter")</f>
        <v>Spring</v>
      </c>
      <c r="R3" s="2" t="str">
        <f>CHOOSE(BikeData[[#This Row],[Weathersituation]],"Clear","Mist","Light Rain","Heavy Rain")</f>
        <v>Clear</v>
      </c>
      <c r="S3" s="2" t="str">
        <f>TEXT(BikeData[[#This Row],[Date]],"mmm")</f>
        <v>Jan</v>
      </c>
    </row>
    <row r="4" spans="1:19" x14ac:dyDescent="0.3">
      <c r="A4">
        <v>3</v>
      </c>
      <c r="B4" s="5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 s="6">
        <f>BikeData[[#This Row],[Temperature]]</f>
        <v>0.22</v>
      </c>
      <c r="L4">
        <f>IFERROR(VLOOKUP(BikeData[[#This Row],[Intents]],[1]!Table2[#Data],3,FALSE),"")</f>
        <v>0.8</v>
      </c>
      <c r="M4">
        <f>IFERROR(VLOOKUP(BikeData[[#This Row],[Intents]],[1]!Table2[#Data],4,FALSE),"")</f>
        <v>0</v>
      </c>
      <c r="N4">
        <f>IFERROR(VLOOKUP(BikeData[[#This Row],[Intents]],[1]!Table2[#Data],5,FALSE),"")</f>
        <v>5</v>
      </c>
      <c r="O4">
        <f>IFERROR(VLOOKUP(BikeData[[#This Row],[Intents]],[1]!Table2[#Data],6,FALSE),"")</f>
        <v>27</v>
      </c>
      <c r="P4">
        <f>IFERROR(VLOOKUP(BikeData[[#This Row],[Intents]],[1]!Table2[#Data],7,FALSE),"")</f>
        <v>32</v>
      </c>
      <c r="Q4" s="2" t="str">
        <f>CHOOSE(BikeData[[#This Row],[Season]],"Spring","Summer","Fall","Winter")</f>
        <v>Spring</v>
      </c>
      <c r="R4" s="2" t="str">
        <f>CHOOSE(BikeData[[#This Row],[Weathersituation]],"Clear","Mist","Light Rain","Heavy Rain")</f>
        <v>Clear</v>
      </c>
      <c r="S4" s="2" t="str">
        <f>TEXT(BikeData[[#This Row],[Date]],"mmm")</f>
        <v>Jan</v>
      </c>
    </row>
    <row r="5" spans="1:19" x14ac:dyDescent="0.3">
      <c r="A5">
        <v>4</v>
      </c>
      <c r="B5" s="5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 s="6">
        <f>BikeData[[#This Row],[Temperature]]</f>
        <v>0.24</v>
      </c>
      <c r="L5">
        <f>IFERROR(VLOOKUP(BikeData[[#This Row],[Intents]],[1]!Table2[#Data],3,FALSE),"")</f>
        <v>0.75</v>
      </c>
      <c r="M5">
        <f>IFERROR(VLOOKUP(BikeData[[#This Row],[Intents]],[1]!Table2[#Data],4,FALSE),"")</f>
        <v>0</v>
      </c>
      <c r="N5">
        <f>IFERROR(VLOOKUP(BikeData[[#This Row],[Intents]],[1]!Table2[#Data],5,FALSE),"")</f>
        <v>3</v>
      </c>
      <c r="O5">
        <f>IFERROR(VLOOKUP(BikeData[[#This Row],[Intents]],[1]!Table2[#Data],6,FALSE),"")</f>
        <v>10</v>
      </c>
      <c r="P5">
        <f>IFERROR(VLOOKUP(BikeData[[#This Row],[Intents]],[1]!Table2[#Data],7,FALSE),"")</f>
        <v>13</v>
      </c>
      <c r="Q5" s="2" t="str">
        <f>CHOOSE(BikeData[[#This Row],[Season]],"Spring","Summer","Fall","Winter")</f>
        <v>Spring</v>
      </c>
      <c r="R5" s="2" t="str">
        <f>CHOOSE(BikeData[[#This Row],[Weathersituation]],"Clear","Mist","Light Rain","Heavy Rain")</f>
        <v>Clear</v>
      </c>
      <c r="S5" s="2" t="str">
        <f>TEXT(BikeData[[#This Row],[Date]],"mmm")</f>
        <v>Jan</v>
      </c>
    </row>
    <row r="6" spans="1:19" x14ac:dyDescent="0.3">
      <c r="A6">
        <v>5</v>
      </c>
      <c r="B6" s="5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 s="6">
        <f>BikeData[[#This Row],[Temperature]]</f>
        <v>0.24</v>
      </c>
      <c r="L6">
        <f>IFERROR(VLOOKUP(BikeData[[#This Row],[Intents]],[1]!Table2[#Data],3,FALSE),"")</f>
        <v>0.75</v>
      </c>
      <c r="M6">
        <f>IFERROR(VLOOKUP(BikeData[[#This Row],[Intents]],[1]!Table2[#Data],4,FALSE),"")</f>
        <v>0</v>
      </c>
      <c r="N6">
        <f>IFERROR(VLOOKUP(BikeData[[#This Row],[Intents]],[1]!Table2[#Data],5,FALSE),"")</f>
        <v>0</v>
      </c>
      <c r="O6">
        <f>IFERROR(VLOOKUP(BikeData[[#This Row],[Intents]],[1]!Table2[#Data],6,FALSE),"")</f>
        <v>1</v>
      </c>
      <c r="P6">
        <f>IFERROR(VLOOKUP(BikeData[[#This Row],[Intents]],[1]!Table2[#Data],7,FALSE),"")</f>
        <v>1</v>
      </c>
      <c r="Q6" s="2" t="str">
        <f>CHOOSE(BikeData[[#This Row],[Season]],"Spring","Summer","Fall","Winter")</f>
        <v>Spring</v>
      </c>
      <c r="R6" s="2" t="str">
        <f>CHOOSE(BikeData[[#This Row],[Weathersituation]],"Clear","Mist","Light Rain","Heavy Rain")</f>
        <v>Clear</v>
      </c>
      <c r="S6" s="2" t="str">
        <f>TEXT(BikeData[[#This Row],[Date]],"mmm")</f>
        <v>Jan</v>
      </c>
    </row>
    <row r="7" spans="1:19" x14ac:dyDescent="0.3">
      <c r="A7">
        <v>6</v>
      </c>
      <c r="B7" s="5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 s="6">
        <f>BikeData[[#This Row],[Temperature]]</f>
        <v>0.24</v>
      </c>
      <c r="L7">
        <f>IFERROR(VLOOKUP(BikeData[[#This Row],[Intents]],[1]!Table2[#Data],3,FALSE),"")</f>
        <v>0.75</v>
      </c>
      <c r="M7">
        <f>IFERROR(VLOOKUP(BikeData[[#This Row],[Intents]],[1]!Table2[#Data],4,FALSE),"")</f>
        <v>8.9599999999999999E-2</v>
      </c>
      <c r="N7">
        <f>IFERROR(VLOOKUP(BikeData[[#This Row],[Intents]],[1]!Table2[#Data],5,FALSE),"")</f>
        <v>0</v>
      </c>
      <c r="O7">
        <f>IFERROR(VLOOKUP(BikeData[[#This Row],[Intents]],[1]!Table2[#Data],6,FALSE),"")</f>
        <v>1</v>
      </c>
      <c r="P7">
        <f>IFERROR(VLOOKUP(BikeData[[#This Row],[Intents]],[1]!Table2[#Data],7,FALSE),"")</f>
        <v>1</v>
      </c>
      <c r="Q7" s="2" t="str">
        <f>CHOOSE(BikeData[[#This Row],[Season]],"Spring","Summer","Fall","Winter")</f>
        <v>Spring</v>
      </c>
      <c r="R7" s="2" t="str">
        <f>CHOOSE(BikeData[[#This Row],[Weathersituation]],"Clear","Mist","Light Rain","Heavy Rain")</f>
        <v>Mist</v>
      </c>
      <c r="S7" s="2" t="str">
        <f>TEXT(BikeData[[#This Row],[Date]],"mmm")</f>
        <v>Jan</v>
      </c>
    </row>
    <row r="8" spans="1:19" x14ac:dyDescent="0.3">
      <c r="A8">
        <v>7</v>
      </c>
      <c r="B8" s="5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 s="6">
        <f>BikeData[[#This Row],[Temperature]]</f>
        <v>0.22</v>
      </c>
      <c r="L8">
        <f>IFERROR(VLOOKUP(BikeData[[#This Row],[Intents]],[1]!Table2[#Data],3,FALSE),"")</f>
        <v>0.8</v>
      </c>
      <c r="M8">
        <f>IFERROR(VLOOKUP(BikeData[[#This Row],[Intents]],[1]!Table2[#Data],4,FALSE),"")</f>
        <v>0</v>
      </c>
      <c r="N8">
        <f>IFERROR(VLOOKUP(BikeData[[#This Row],[Intents]],[1]!Table2[#Data],5,FALSE),"")</f>
        <v>2</v>
      </c>
      <c r="O8">
        <f>IFERROR(VLOOKUP(BikeData[[#This Row],[Intents]],[1]!Table2[#Data],6,FALSE),"")</f>
        <v>0</v>
      </c>
      <c r="P8">
        <f>IFERROR(VLOOKUP(BikeData[[#This Row],[Intents]],[1]!Table2[#Data],7,FALSE),"")</f>
        <v>2</v>
      </c>
      <c r="Q8" s="2" t="str">
        <f>CHOOSE(BikeData[[#This Row],[Season]],"Spring","Summer","Fall","Winter")</f>
        <v>Spring</v>
      </c>
      <c r="R8" s="2" t="str">
        <f>CHOOSE(BikeData[[#This Row],[Weathersituation]],"Clear","Mist","Light Rain","Heavy Rain")</f>
        <v>Clear</v>
      </c>
      <c r="S8" s="2" t="str">
        <f>TEXT(BikeData[[#This Row],[Date]],"mmm")</f>
        <v>Jan</v>
      </c>
    </row>
    <row r="9" spans="1:19" x14ac:dyDescent="0.3">
      <c r="A9">
        <v>8</v>
      </c>
      <c r="B9" s="5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 s="6">
        <f>BikeData[[#This Row],[Temperature]]</f>
        <v>0.2</v>
      </c>
      <c r="L9">
        <f>IFERROR(VLOOKUP(BikeData[[#This Row],[Intents]],[1]!Table2[#Data],3,FALSE),"")</f>
        <v>0.86</v>
      </c>
      <c r="M9">
        <f>IFERROR(VLOOKUP(BikeData[[#This Row],[Intents]],[1]!Table2[#Data],4,FALSE),"")</f>
        <v>0</v>
      </c>
      <c r="N9">
        <f>IFERROR(VLOOKUP(BikeData[[#This Row],[Intents]],[1]!Table2[#Data],5,FALSE),"")</f>
        <v>1</v>
      </c>
      <c r="O9">
        <f>IFERROR(VLOOKUP(BikeData[[#This Row],[Intents]],[1]!Table2[#Data],6,FALSE),"")</f>
        <v>2</v>
      </c>
      <c r="P9">
        <f>IFERROR(VLOOKUP(BikeData[[#This Row],[Intents]],[1]!Table2[#Data],7,FALSE),"")</f>
        <v>3</v>
      </c>
      <c r="Q9" s="2" t="str">
        <f>CHOOSE(BikeData[[#This Row],[Season]],"Spring","Summer","Fall","Winter")</f>
        <v>Spring</v>
      </c>
      <c r="R9" s="2" t="str">
        <f>CHOOSE(BikeData[[#This Row],[Weathersituation]],"Clear","Mist","Light Rain","Heavy Rain")</f>
        <v>Clear</v>
      </c>
      <c r="S9" s="2" t="str">
        <f>TEXT(BikeData[[#This Row],[Date]],"mmm")</f>
        <v>Jan</v>
      </c>
    </row>
    <row r="10" spans="1:19" x14ac:dyDescent="0.3">
      <c r="A10">
        <v>9</v>
      </c>
      <c r="B10" s="5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 s="6">
        <f>BikeData[[#This Row],[Temperature]]</f>
        <v>0.24</v>
      </c>
      <c r="L10">
        <f>IFERROR(VLOOKUP(BikeData[[#This Row],[Intents]],[1]!Table2[#Data],3,FALSE),"")</f>
        <v>0.75</v>
      </c>
      <c r="M10">
        <f>IFERROR(VLOOKUP(BikeData[[#This Row],[Intents]],[1]!Table2[#Data],4,FALSE),"")</f>
        <v>0</v>
      </c>
      <c r="N10">
        <f>IFERROR(VLOOKUP(BikeData[[#This Row],[Intents]],[1]!Table2[#Data],5,FALSE),"")</f>
        <v>1</v>
      </c>
      <c r="O10">
        <f>IFERROR(VLOOKUP(BikeData[[#This Row],[Intents]],[1]!Table2[#Data],6,FALSE),"")</f>
        <v>7</v>
      </c>
      <c r="P10">
        <f>IFERROR(VLOOKUP(BikeData[[#This Row],[Intents]],[1]!Table2[#Data],7,FALSE),"")</f>
        <v>8</v>
      </c>
      <c r="Q10" s="2" t="str">
        <f>CHOOSE(BikeData[[#This Row],[Season]],"Spring","Summer","Fall","Winter")</f>
        <v>Spring</v>
      </c>
      <c r="R10" s="2" t="str">
        <f>CHOOSE(BikeData[[#This Row],[Weathersituation]],"Clear","Mist","Light Rain","Heavy Rain")</f>
        <v>Clear</v>
      </c>
      <c r="S10" s="2" t="str">
        <f>TEXT(BikeData[[#This Row],[Date]],"mmm")</f>
        <v>Jan</v>
      </c>
    </row>
    <row r="11" spans="1:19" x14ac:dyDescent="0.3">
      <c r="A11">
        <v>10</v>
      </c>
      <c r="B11" s="5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 s="6">
        <f>BikeData[[#This Row],[Temperature]]</f>
        <v>0.32</v>
      </c>
      <c r="L11">
        <f>IFERROR(VLOOKUP(BikeData[[#This Row],[Intents]],[1]!Table2[#Data],3,FALSE),"")</f>
        <v>0.76</v>
      </c>
      <c r="M11">
        <f>IFERROR(VLOOKUP(BikeData[[#This Row],[Intents]],[1]!Table2[#Data],4,FALSE),"")</f>
        <v>0</v>
      </c>
      <c r="N11">
        <f>IFERROR(VLOOKUP(BikeData[[#This Row],[Intents]],[1]!Table2[#Data],5,FALSE),"")</f>
        <v>8</v>
      </c>
      <c r="O11">
        <f>IFERROR(VLOOKUP(BikeData[[#This Row],[Intents]],[1]!Table2[#Data],6,FALSE),"")</f>
        <v>6</v>
      </c>
      <c r="P11">
        <f>IFERROR(VLOOKUP(BikeData[[#This Row],[Intents]],[1]!Table2[#Data],7,FALSE),"")</f>
        <v>14</v>
      </c>
      <c r="Q11" s="2" t="str">
        <f>CHOOSE(BikeData[[#This Row],[Season]],"Spring","Summer","Fall","Winter")</f>
        <v>Spring</v>
      </c>
      <c r="R11" s="2" t="str">
        <f>CHOOSE(BikeData[[#This Row],[Weathersituation]],"Clear","Mist","Light Rain","Heavy Rain")</f>
        <v>Clear</v>
      </c>
      <c r="S11" s="2" t="str">
        <f>TEXT(BikeData[[#This Row],[Date]],"mmm")</f>
        <v>Jan</v>
      </c>
    </row>
    <row r="12" spans="1:19" x14ac:dyDescent="0.3">
      <c r="A12">
        <v>11</v>
      </c>
      <c r="B12" s="5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 s="6">
        <f>BikeData[[#This Row],[Temperature]]</f>
        <v>0.38</v>
      </c>
      <c r="L12">
        <f>IFERROR(VLOOKUP(BikeData[[#This Row],[Intents]],[1]!Table2[#Data],3,FALSE),"")</f>
        <v>0.76</v>
      </c>
      <c r="M12">
        <f>IFERROR(VLOOKUP(BikeData[[#This Row],[Intents]],[1]!Table2[#Data],4,FALSE),"")</f>
        <v>0.25369999999999998</v>
      </c>
      <c r="N12">
        <f>IFERROR(VLOOKUP(BikeData[[#This Row],[Intents]],[1]!Table2[#Data],5,FALSE),"")</f>
        <v>12</v>
      </c>
      <c r="O12">
        <f>IFERROR(VLOOKUP(BikeData[[#This Row],[Intents]],[1]!Table2[#Data],6,FALSE),"")</f>
        <v>24</v>
      </c>
      <c r="P12">
        <f>IFERROR(VLOOKUP(BikeData[[#This Row],[Intents]],[1]!Table2[#Data],7,FALSE),"")</f>
        <v>36</v>
      </c>
      <c r="Q12" s="2" t="str">
        <f>CHOOSE(BikeData[[#This Row],[Season]],"Spring","Summer","Fall","Winter")</f>
        <v>Spring</v>
      </c>
      <c r="R12" s="2" t="str">
        <f>CHOOSE(BikeData[[#This Row],[Weathersituation]],"Clear","Mist","Light Rain","Heavy Rain")</f>
        <v>Clear</v>
      </c>
      <c r="S12" s="2" t="str">
        <f>TEXT(BikeData[[#This Row],[Date]],"mmm")</f>
        <v>Jan</v>
      </c>
    </row>
    <row r="13" spans="1:19" x14ac:dyDescent="0.3">
      <c r="A13">
        <v>12</v>
      </c>
      <c r="B13" s="5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 s="6">
        <f>BikeData[[#This Row],[Temperature]]</f>
        <v>0.36</v>
      </c>
      <c r="L13">
        <f>IFERROR(VLOOKUP(BikeData[[#This Row],[Intents]],[1]!Table2[#Data],3,FALSE),"")</f>
        <v>0.81</v>
      </c>
      <c r="M13">
        <f>IFERROR(VLOOKUP(BikeData[[#This Row],[Intents]],[1]!Table2[#Data],4,FALSE),"")</f>
        <v>0.28360000000000002</v>
      </c>
      <c r="N13">
        <f>IFERROR(VLOOKUP(BikeData[[#This Row],[Intents]],[1]!Table2[#Data],5,FALSE),"")</f>
        <v>26</v>
      </c>
      <c r="O13">
        <f>IFERROR(VLOOKUP(BikeData[[#This Row],[Intents]],[1]!Table2[#Data],6,FALSE),"")</f>
        <v>30</v>
      </c>
      <c r="P13">
        <f>IFERROR(VLOOKUP(BikeData[[#This Row],[Intents]],[1]!Table2[#Data],7,FALSE),"")</f>
        <v>56</v>
      </c>
      <c r="Q13" s="2" t="str">
        <f>CHOOSE(BikeData[[#This Row],[Season]],"Spring","Summer","Fall","Winter")</f>
        <v>Spring</v>
      </c>
      <c r="R13" s="2" t="str">
        <f>CHOOSE(BikeData[[#This Row],[Weathersituation]],"Clear","Mist","Light Rain","Heavy Rain")</f>
        <v>Clear</v>
      </c>
      <c r="S13" s="2" t="str">
        <f>TEXT(BikeData[[#This Row],[Date]],"mmm")</f>
        <v>Jan</v>
      </c>
    </row>
    <row r="14" spans="1:19" x14ac:dyDescent="0.3">
      <c r="A14">
        <v>13</v>
      </c>
      <c r="B14" s="5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 s="6">
        <f>BikeData[[#This Row],[Temperature]]</f>
        <v>0.42</v>
      </c>
      <c r="L14">
        <f>IFERROR(VLOOKUP(BikeData[[#This Row],[Intents]],[1]!Table2[#Data],3,FALSE),"")</f>
        <v>0.77</v>
      </c>
      <c r="M14">
        <f>IFERROR(VLOOKUP(BikeData[[#This Row],[Intents]],[1]!Table2[#Data],4,FALSE),"")</f>
        <v>0.28360000000000002</v>
      </c>
      <c r="N14">
        <f>IFERROR(VLOOKUP(BikeData[[#This Row],[Intents]],[1]!Table2[#Data],5,FALSE),"")</f>
        <v>29</v>
      </c>
      <c r="O14">
        <f>IFERROR(VLOOKUP(BikeData[[#This Row],[Intents]],[1]!Table2[#Data],6,FALSE),"")</f>
        <v>55</v>
      </c>
      <c r="P14">
        <f>IFERROR(VLOOKUP(BikeData[[#This Row],[Intents]],[1]!Table2[#Data],7,FALSE),"")</f>
        <v>84</v>
      </c>
      <c r="Q14" s="2" t="str">
        <f>CHOOSE(BikeData[[#This Row],[Season]],"Spring","Summer","Fall","Winter")</f>
        <v>Spring</v>
      </c>
      <c r="R14" s="2" t="str">
        <f>CHOOSE(BikeData[[#This Row],[Weathersituation]],"Clear","Mist","Light Rain","Heavy Rain")</f>
        <v>Clear</v>
      </c>
      <c r="S14" s="2" t="str">
        <f>TEXT(BikeData[[#This Row],[Date]],"mmm")</f>
        <v>Jan</v>
      </c>
    </row>
    <row r="15" spans="1:19" x14ac:dyDescent="0.3">
      <c r="A15">
        <v>14</v>
      </c>
      <c r="B15" s="5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 s="6">
        <f>BikeData[[#This Row],[Temperature]]</f>
        <v>0.46</v>
      </c>
      <c r="L15">
        <f>IFERROR(VLOOKUP(BikeData[[#This Row],[Intents]],[1]!Table2[#Data],3,FALSE),"")</f>
        <v>0.72</v>
      </c>
      <c r="M15">
        <f>IFERROR(VLOOKUP(BikeData[[#This Row],[Intents]],[1]!Table2[#Data],4,FALSE),"")</f>
        <v>0.29849999999999999</v>
      </c>
      <c r="N15">
        <f>IFERROR(VLOOKUP(BikeData[[#This Row],[Intents]],[1]!Table2[#Data],5,FALSE),"")</f>
        <v>47</v>
      </c>
      <c r="O15">
        <f>IFERROR(VLOOKUP(BikeData[[#This Row],[Intents]],[1]!Table2[#Data],6,FALSE),"")</f>
        <v>47</v>
      </c>
      <c r="P15">
        <f>IFERROR(VLOOKUP(BikeData[[#This Row],[Intents]],[1]!Table2[#Data],7,FALSE),"")</f>
        <v>94</v>
      </c>
      <c r="Q15" s="2" t="str">
        <f>CHOOSE(BikeData[[#This Row],[Season]],"Spring","Summer","Fall","Winter")</f>
        <v>Spring</v>
      </c>
      <c r="R15" s="2" t="str">
        <f>CHOOSE(BikeData[[#This Row],[Weathersituation]],"Clear","Mist","Light Rain","Heavy Rain")</f>
        <v>Mist</v>
      </c>
      <c r="S15" s="2" t="str">
        <f>TEXT(BikeData[[#This Row],[Date]],"mmm")</f>
        <v>Jan</v>
      </c>
    </row>
    <row r="16" spans="1:19" x14ac:dyDescent="0.3">
      <c r="A16">
        <v>15</v>
      </c>
      <c r="B16" s="5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 s="6">
        <f>BikeData[[#This Row],[Temperature]]</f>
        <v>0.46</v>
      </c>
      <c r="L16">
        <f>IFERROR(VLOOKUP(BikeData[[#This Row],[Intents]],[1]!Table2[#Data],3,FALSE),"")</f>
        <v>0.72</v>
      </c>
      <c r="M16">
        <f>IFERROR(VLOOKUP(BikeData[[#This Row],[Intents]],[1]!Table2[#Data],4,FALSE),"")</f>
        <v>0.28360000000000002</v>
      </c>
      <c r="N16">
        <f>IFERROR(VLOOKUP(BikeData[[#This Row],[Intents]],[1]!Table2[#Data],5,FALSE),"")</f>
        <v>35</v>
      </c>
      <c r="O16">
        <f>IFERROR(VLOOKUP(BikeData[[#This Row],[Intents]],[1]!Table2[#Data],6,FALSE),"")</f>
        <v>71</v>
      </c>
      <c r="P16">
        <f>IFERROR(VLOOKUP(BikeData[[#This Row],[Intents]],[1]!Table2[#Data],7,FALSE),"")</f>
        <v>106</v>
      </c>
      <c r="Q16" s="2" t="str">
        <f>CHOOSE(BikeData[[#This Row],[Season]],"Spring","Summer","Fall","Winter")</f>
        <v>Spring</v>
      </c>
      <c r="R16" s="2" t="str">
        <f>CHOOSE(BikeData[[#This Row],[Weathersituation]],"Clear","Mist","Light Rain","Heavy Rain")</f>
        <v>Mist</v>
      </c>
      <c r="S16" s="2" t="str">
        <f>TEXT(BikeData[[#This Row],[Date]],"mmm")</f>
        <v>Jan</v>
      </c>
    </row>
    <row r="17" spans="1:19" x14ac:dyDescent="0.3">
      <c r="A17">
        <v>16</v>
      </c>
      <c r="B17" s="5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 s="6">
        <f>BikeData[[#This Row],[Temperature]]</f>
        <v>0.44</v>
      </c>
      <c r="L17">
        <f>IFERROR(VLOOKUP(BikeData[[#This Row],[Intents]],[1]!Table2[#Data],3,FALSE),"")</f>
        <v>0.77</v>
      </c>
      <c r="M17">
        <f>IFERROR(VLOOKUP(BikeData[[#This Row],[Intents]],[1]!Table2[#Data],4,FALSE),"")</f>
        <v>0.29849999999999999</v>
      </c>
      <c r="N17">
        <f>IFERROR(VLOOKUP(BikeData[[#This Row],[Intents]],[1]!Table2[#Data],5,FALSE),"")</f>
        <v>40</v>
      </c>
      <c r="O17">
        <f>IFERROR(VLOOKUP(BikeData[[#This Row],[Intents]],[1]!Table2[#Data],6,FALSE),"")</f>
        <v>70</v>
      </c>
      <c r="P17">
        <f>IFERROR(VLOOKUP(BikeData[[#This Row],[Intents]],[1]!Table2[#Data],7,FALSE),"")</f>
        <v>110</v>
      </c>
      <c r="Q17" s="2" t="str">
        <f>CHOOSE(BikeData[[#This Row],[Season]],"Spring","Summer","Fall","Winter")</f>
        <v>Spring</v>
      </c>
      <c r="R17" s="2" t="str">
        <f>CHOOSE(BikeData[[#This Row],[Weathersituation]],"Clear","Mist","Light Rain","Heavy Rain")</f>
        <v>Mist</v>
      </c>
      <c r="S17" s="2" t="str">
        <f>TEXT(BikeData[[#This Row],[Date]],"mmm")</f>
        <v>Jan</v>
      </c>
    </row>
    <row r="18" spans="1:19" x14ac:dyDescent="0.3">
      <c r="A18">
        <v>17</v>
      </c>
      <c r="B18" s="5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 s="6">
        <f>BikeData[[#This Row],[Temperature]]</f>
        <v>0.42</v>
      </c>
      <c r="L18">
        <f>IFERROR(VLOOKUP(BikeData[[#This Row],[Intents]],[1]!Table2[#Data],3,FALSE),"")</f>
        <v>0.82</v>
      </c>
      <c r="M18">
        <f>IFERROR(VLOOKUP(BikeData[[#This Row],[Intents]],[1]!Table2[#Data],4,FALSE),"")</f>
        <v>0.29849999999999999</v>
      </c>
      <c r="N18">
        <f>IFERROR(VLOOKUP(BikeData[[#This Row],[Intents]],[1]!Table2[#Data],5,FALSE),"")</f>
        <v>41</v>
      </c>
      <c r="O18">
        <f>IFERROR(VLOOKUP(BikeData[[#This Row],[Intents]],[1]!Table2[#Data],6,FALSE),"")</f>
        <v>52</v>
      </c>
      <c r="P18">
        <f>IFERROR(VLOOKUP(BikeData[[#This Row],[Intents]],[1]!Table2[#Data],7,FALSE),"")</f>
        <v>93</v>
      </c>
      <c r="Q18" s="2" t="str">
        <f>CHOOSE(BikeData[[#This Row],[Season]],"Spring","Summer","Fall","Winter")</f>
        <v>Spring</v>
      </c>
      <c r="R18" s="2" t="str">
        <f>CHOOSE(BikeData[[#This Row],[Weathersituation]],"Clear","Mist","Light Rain","Heavy Rain")</f>
        <v>Mist</v>
      </c>
      <c r="S18" s="2" t="str">
        <f>TEXT(BikeData[[#This Row],[Date]],"mmm")</f>
        <v>Jan</v>
      </c>
    </row>
    <row r="19" spans="1:19" x14ac:dyDescent="0.3">
      <c r="A19">
        <v>18</v>
      </c>
      <c r="B19" s="5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 s="6">
        <f>BikeData[[#This Row],[Temperature]]</f>
        <v>0.44</v>
      </c>
      <c r="L19">
        <f>IFERROR(VLOOKUP(BikeData[[#This Row],[Intents]],[1]!Table2[#Data],3,FALSE),"")</f>
        <v>0.82</v>
      </c>
      <c r="M19">
        <f>IFERROR(VLOOKUP(BikeData[[#This Row],[Intents]],[1]!Table2[#Data],4,FALSE),"")</f>
        <v>0.28360000000000002</v>
      </c>
      <c r="N19">
        <f>IFERROR(VLOOKUP(BikeData[[#This Row],[Intents]],[1]!Table2[#Data],5,FALSE),"")</f>
        <v>15</v>
      </c>
      <c r="O19">
        <f>IFERROR(VLOOKUP(BikeData[[#This Row],[Intents]],[1]!Table2[#Data],6,FALSE),"")</f>
        <v>52</v>
      </c>
      <c r="P19">
        <f>IFERROR(VLOOKUP(BikeData[[#This Row],[Intents]],[1]!Table2[#Data],7,FALSE),"")</f>
        <v>67</v>
      </c>
      <c r="Q19" s="2" t="str">
        <f>CHOOSE(BikeData[[#This Row],[Season]],"Spring","Summer","Fall","Winter")</f>
        <v>Spring</v>
      </c>
      <c r="R19" s="2" t="str">
        <f>CHOOSE(BikeData[[#This Row],[Weathersituation]],"Clear","Mist","Light Rain","Heavy Rain")</f>
        <v>Mist</v>
      </c>
      <c r="S19" s="2" t="str">
        <f>TEXT(BikeData[[#This Row],[Date]],"mmm")</f>
        <v>Jan</v>
      </c>
    </row>
    <row r="20" spans="1:19" x14ac:dyDescent="0.3">
      <c r="A20">
        <v>19</v>
      </c>
      <c r="B20" s="5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 s="6">
        <f>BikeData[[#This Row],[Temperature]]</f>
        <v>0.42</v>
      </c>
      <c r="L20">
        <f>IFERROR(VLOOKUP(BikeData[[#This Row],[Intents]],[1]!Table2[#Data],3,FALSE),"")</f>
        <v>0.88</v>
      </c>
      <c r="M20">
        <f>IFERROR(VLOOKUP(BikeData[[#This Row],[Intents]],[1]!Table2[#Data],4,FALSE),"")</f>
        <v>0.25369999999999998</v>
      </c>
      <c r="N20">
        <f>IFERROR(VLOOKUP(BikeData[[#This Row],[Intents]],[1]!Table2[#Data],5,FALSE),"")</f>
        <v>9</v>
      </c>
      <c r="O20">
        <f>IFERROR(VLOOKUP(BikeData[[#This Row],[Intents]],[1]!Table2[#Data],6,FALSE),"")</f>
        <v>26</v>
      </c>
      <c r="P20">
        <f>IFERROR(VLOOKUP(BikeData[[#This Row],[Intents]],[1]!Table2[#Data],7,FALSE),"")</f>
        <v>35</v>
      </c>
      <c r="Q20" s="2" t="str">
        <f>CHOOSE(BikeData[[#This Row],[Season]],"Spring","Summer","Fall","Winter")</f>
        <v>Spring</v>
      </c>
      <c r="R20" s="2" t="str">
        <f>CHOOSE(BikeData[[#This Row],[Weathersituation]],"Clear","Mist","Light Rain","Heavy Rain")</f>
        <v>Light Rain</v>
      </c>
      <c r="S20" s="2" t="str">
        <f>TEXT(BikeData[[#This Row],[Date]],"mmm")</f>
        <v>Jan</v>
      </c>
    </row>
    <row r="21" spans="1:19" x14ac:dyDescent="0.3">
      <c r="A21">
        <v>20</v>
      </c>
      <c r="B21" s="5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 s="6">
        <f>BikeData[[#This Row],[Temperature]]</f>
        <v>0.42</v>
      </c>
      <c r="L21">
        <f>IFERROR(VLOOKUP(BikeData[[#This Row],[Intents]],[1]!Table2[#Data],3,FALSE),"")</f>
        <v>0.88</v>
      </c>
      <c r="M21">
        <f>IFERROR(VLOOKUP(BikeData[[#This Row],[Intents]],[1]!Table2[#Data],4,FALSE),"")</f>
        <v>0.25369999999999998</v>
      </c>
      <c r="N21">
        <f>IFERROR(VLOOKUP(BikeData[[#This Row],[Intents]],[1]!Table2[#Data],5,FALSE),"")</f>
        <v>6</v>
      </c>
      <c r="O21">
        <f>IFERROR(VLOOKUP(BikeData[[#This Row],[Intents]],[1]!Table2[#Data],6,FALSE),"")</f>
        <v>31</v>
      </c>
      <c r="P21">
        <f>IFERROR(VLOOKUP(BikeData[[#This Row],[Intents]],[1]!Table2[#Data],7,FALSE),"")</f>
        <v>37</v>
      </c>
      <c r="Q21" s="2" t="str">
        <f>CHOOSE(BikeData[[#This Row],[Season]],"Spring","Summer","Fall","Winter")</f>
        <v>Spring</v>
      </c>
      <c r="R21" s="2" t="str">
        <f>CHOOSE(BikeData[[#This Row],[Weathersituation]],"Clear","Mist","Light Rain","Heavy Rain")</f>
        <v>Light Rain</v>
      </c>
      <c r="S21" s="2" t="str">
        <f>TEXT(BikeData[[#This Row],[Date]],"mmm")</f>
        <v>Jan</v>
      </c>
    </row>
    <row r="22" spans="1:19" x14ac:dyDescent="0.3">
      <c r="A22">
        <v>21</v>
      </c>
      <c r="B22" s="5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 s="6">
        <f>BikeData[[#This Row],[Temperature]]</f>
        <v>0.4</v>
      </c>
      <c r="L22">
        <f>IFERROR(VLOOKUP(BikeData[[#This Row],[Intents]],[1]!Table2[#Data],3,FALSE),"")</f>
        <v>0.87</v>
      </c>
      <c r="M22">
        <f>IFERROR(VLOOKUP(BikeData[[#This Row],[Intents]],[1]!Table2[#Data],4,FALSE),"")</f>
        <v>0.25369999999999998</v>
      </c>
      <c r="N22">
        <f>IFERROR(VLOOKUP(BikeData[[#This Row],[Intents]],[1]!Table2[#Data],5,FALSE),"")</f>
        <v>11</v>
      </c>
      <c r="O22">
        <f>IFERROR(VLOOKUP(BikeData[[#This Row],[Intents]],[1]!Table2[#Data],6,FALSE),"")</f>
        <v>25</v>
      </c>
      <c r="P22">
        <f>IFERROR(VLOOKUP(BikeData[[#This Row],[Intents]],[1]!Table2[#Data],7,FALSE),"")</f>
        <v>36</v>
      </c>
      <c r="Q22" s="2" t="str">
        <f>CHOOSE(BikeData[[#This Row],[Season]],"Spring","Summer","Fall","Winter")</f>
        <v>Spring</v>
      </c>
      <c r="R22" s="2" t="str">
        <f>CHOOSE(BikeData[[#This Row],[Weathersituation]],"Clear","Mist","Light Rain","Heavy Rain")</f>
        <v>Mist</v>
      </c>
      <c r="S22" s="2" t="str">
        <f>TEXT(BikeData[[#This Row],[Date]],"mmm")</f>
        <v>Jan</v>
      </c>
    </row>
    <row r="23" spans="1:19" x14ac:dyDescent="0.3">
      <c r="A23">
        <v>22</v>
      </c>
      <c r="B23" s="5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 s="6">
        <f>BikeData[[#This Row],[Temperature]]</f>
        <v>0.4</v>
      </c>
      <c r="L23">
        <f>IFERROR(VLOOKUP(BikeData[[#This Row],[Intents]],[1]!Table2[#Data],3,FALSE),"")</f>
        <v>0.87</v>
      </c>
      <c r="M23">
        <f>IFERROR(VLOOKUP(BikeData[[#This Row],[Intents]],[1]!Table2[#Data],4,FALSE),"")</f>
        <v>0.19400000000000001</v>
      </c>
      <c r="N23">
        <f>IFERROR(VLOOKUP(BikeData[[#This Row],[Intents]],[1]!Table2[#Data],5,FALSE),"")</f>
        <v>3</v>
      </c>
      <c r="O23">
        <f>IFERROR(VLOOKUP(BikeData[[#This Row],[Intents]],[1]!Table2[#Data],6,FALSE),"")</f>
        <v>31</v>
      </c>
      <c r="P23">
        <f>IFERROR(VLOOKUP(BikeData[[#This Row],[Intents]],[1]!Table2[#Data],7,FALSE),"")</f>
        <v>34</v>
      </c>
      <c r="Q23" s="2" t="str">
        <f>CHOOSE(BikeData[[#This Row],[Season]],"Spring","Summer","Fall","Winter")</f>
        <v>Spring</v>
      </c>
      <c r="R23" s="2" t="str">
        <f>CHOOSE(BikeData[[#This Row],[Weathersituation]],"Clear","Mist","Light Rain","Heavy Rain")</f>
        <v>Mist</v>
      </c>
      <c r="S23" s="2" t="str">
        <f>TEXT(BikeData[[#This Row],[Date]],"mmm")</f>
        <v>Jan</v>
      </c>
    </row>
    <row r="24" spans="1:19" x14ac:dyDescent="0.3">
      <c r="A24">
        <v>23</v>
      </c>
      <c r="B24" s="5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 s="6">
        <f>BikeData[[#This Row],[Temperature]]</f>
        <v>0.4</v>
      </c>
      <c r="L24">
        <f>IFERROR(VLOOKUP(BikeData[[#This Row],[Intents]],[1]!Table2[#Data],3,FALSE),"")</f>
        <v>0.94</v>
      </c>
      <c r="M24">
        <f>IFERROR(VLOOKUP(BikeData[[#This Row],[Intents]],[1]!Table2[#Data],4,FALSE),"")</f>
        <v>0.22389999999999999</v>
      </c>
      <c r="N24">
        <f>IFERROR(VLOOKUP(BikeData[[#This Row],[Intents]],[1]!Table2[#Data],5,FALSE),"")</f>
        <v>11</v>
      </c>
      <c r="O24">
        <f>IFERROR(VLOOKUP(BikeData[[#This Row],[Intents]],[1]!Table2[#Data],6,FALSE),"")</f>
        <v>17</v>
      </c>
      <c r="P24">
        <f>IFERROR(VLOOKUP(BikeData[[#This Row],[Intents]],[1]!Table2[#Data],7,FALSE),"")</f>
        <v>28</v>
      </c>
      <c r="Q24" s="2" t="str">
        <f>CHOOSE(BikeData[[#This Row],[Season]],"Spring","Summer","Fall","Winter")</f>
        <v>Spring</v>
      </c>
      <c r="R24" s="2" t="str">
        <f>CHOOSE(BikeData[[#This Row],[Weathersituation]],"Clear","Mist","Light Rain","Heavy Rain")</f>
        <v>Mist</v>
      </c>
      <c r="S24" s="2" t="str">
        <f>TEXT(BikeData[[#This Row],[Date]],"mmm")</f>
        <v>Jan</v>
      </c>
    </row>
    <row r="25" spans="1:19" x14ac:dyDescent="0.3">
      <c r="A25">
        <v>24</v>
      </c>
      <c r="B25" s="5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 s="6">
        <f>BikeData[[#This Row],[Temperature]]</f>
        <v>0.46</v>
      </c>
      <c r="L25">
        <f>IFERROR(VLOOKUP(BikeData[[#This Row],[Intents]],[1]!Table2[#Data],3,FALSE),"")</f>
        <v>0.88</v>
      </c>
      <c r="M25">
        <f>IFERROR(VLOOKUP(BikeData[[#This Row],[Intents]],[1]!Table2[#Data],4,FALSE),"")</f>
        <v>0.29849999999999999</v>
      </c>
      <c r="N25">
        <f>IFERROR(VLOOKUP(BikeData[[#This Row],[Intents]],[1]!Table2[#Data],5,FALSE),"")</f>
        <v>15</v>
      </c>
      <c r="O25">
        <f>IFERROR(VLOOKUP(BikeData[[#This Row],[Intents]],[1]!Table2[#Data],6,FALSE),"")</f>
        <v>24</v>
      </c>
      <c r="P25">
        <f>IFERROR(VLOOKUP(BikeData[[#This Row],[Intents]],[1]!Table2[#Data],7,FALSE),"")</f>
        <v>39</v>
      </c>
      <c r="Q25" s="2" t="str">
        <f>CHOOSE(BikeData[[#This Row],[Season]],"Spring","Summer","Fall","Winter")</f>
        <v>Spring</v>
      </c>
      <c r="R25" s="2" t="str">
        <f>CHOOSE(BikeData[[#This Row],[Weathersituation]],"Clear","Mist","Light Rain","Heavy Rain")</f>
        <v>Mist</v>
      </c>
      <c r="S25" s="2" t="str">
        <f>TEXT(BikeData[[#This Row],[Date]],"mmm")</f>
        <v>Jan</v>
      </c>
    </row>
    <row r="26" spans="1:19" x14ac:dyDescent="0.3">
      <c r="A26">
        <v>25</v>
      </c>
      <c r="B26" s="5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 s="6">
        <f>BikeData[[#This Row],[Temperature]]</f>
        <v>0.46</v>
      </c>
      <c r="L26">
        <f>IFERROR(VLOOKUP(BikeData[[#This Row],[Intents]],[1]!Table2[#Data],3,FALSE),"")</f>
        <v>0.88</v>
      </c>
      <c r="M26">
        <f>IFERROR(VLOOKUP(BikeData[[#This Row],[Intents]],[1]!Table2[#Data],4,FALSE),"")</f>
        <v>0.29849999999999999</v>
      </c>
      <c r="N26">
        <f>IFERROR(VLOOKUP(BikeData[[#This Row],[Intents]],[1]!Table2[#Data],5,FALSE),"")</f>
        <v>4</v>
      </c>
      <c r="O26">
        <f>IFERROR(VLOOKUP(BikeData[[#This Row],[Intents]],[1]!Table2[#Data],6,FALSE),"")</f>
        <v>13</v>
      </c>
      <c r="P26">
        <f>IFERROR(VLOOKUP(BikeData[[#This Row],[Intents]],[1]!Table2[#Data],7,FALSE),"")</f>
        <v>17</v>
      </c>
      <c r="Q26" s="2" t="str">
        <f>CHOOSE(BikeData[[#This Row],[Season]],"Spring","Summer","Fall","Winter")</f>
        <v>Spring</v>
      </c>
      <c r="R26" s="2" t="str">
        <f>CHOOSE(BikeData[[#This Row],[Weathersituation]],"Clear","Mist","Light Rain","Heavy Rain")</f>
        <v>Mist</v>
      </c>
      <c r="S26" s="2" t="str">
        <f>TEXT(BikeData[[#This Row],[Date]],"mmm")</f>
        <v>Jan</v>
      </c>
    </row>
    <row r="27" spans="1:19" x14ac:dyDescent="0.3">
      <c r="A27">
        <v>26</v>
      </c>
      <c r="B27" s="5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 s="6">
        <f>BikeData[[#This Row],[Temperature]]</f>
        <v>0.44</v>
      </c>
      <c r="L27">
        <f>IFERROR(VLOOKUP(BikeData[[#This Row],[Intents]],[1]!Table2[#Data],3,FALSE),"")</f>
        <v>0.94</v>
      </c>
      <c r="M27">
        <f>IFERROR(VLOOKUP(BikeData[[#This Row],[Intents]],[1]!Table2[#Data],4,FALSE),"")</f>
        <v>0.25369999999999998</v>
      </c>
      <c r="N27">
        <f>IFERROR(VLOOKUP(BikeData[[#This Row],[Intents]],[1]!Table2[#Data],5,FALSE),"")</f>
        <v>1</v>
      </c>
      <c r="O27">
        <f>IFERROR(VLOOKUP(BikeData[[#This Row],[Intents]],[1]!Table2[#Data],6,FALSE),"")</f>
        <v>16</v>
      </c>
      <c r="P27">
        <f>IFERROR(VLOOKUP(BikeData[[#This Row],[Intents]],[1]!Table2[#Data],7,FALSE),"")</f>
        <v>17</v>
      </c>
      <c r="Q27" s="2" t="str">
        <f>CHOOSE(BikeData[[#This Row],[Season]],"Spring","Summer","Fall","Winter")</f>
        <v>Spring</v>
      </c>
      <c r="R27" s="2" t="str">
        <f>CHOOSE(BikeData[[#This Row],[Weathersituation]],"Clear","Mist","Light Rain","Heavy Rain")</f>
        <v>Mist</v>
      </c>
      <c r="S27" s="2" t="str">
        <f>TEXT(BikeData[[#This Row],[Date]],"mmm")</f>
        <v>Jan</v>
      </c>
    </row>
    <row r="28" spans="1:19" x14ac:dyDescent="0.3">
      <c r="A28">
        <v>27</v>
      </c>
      <c r="B28" s="5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 s="6">
        <f>BikeData[[#This Row],[Temperature]]</f>
        <v>0.42</v>
      </c>
      <c r="L28">
        <f>IFERROR(VLOOKUP(BikeData[[#This Row],[Intents]],[1]!Table2[#Data],3,FALSE),"")</f>
        <v>1</v>
      </c>
      <c r="M28">
        <f>IFERROR(VLOOKUP(BikeData[[#This Row],[Intents]],[1]!Table2[#Data],4,FALSE),"")</f>
        <v>0.28360000000000002</v>
      </c>
      <c r="N28">
        <f>IFERROR(VLOOKUP(BikeData[[#This Row],[Intents]],[1]!Table2[#Data],5,FALSE),"")</f>
        <v>1</v>
      </c>
      <c r="O28">
        <f>IFERROR(VLOOKUP(BikeData[[#This Row],[Intents]],[1]!Table2[#Data],6,FALSE),"")</f>
        <v>8</v>
      </c>
      <c r="P28">
        <f>IFERROR(VLOOKUP(BikeData[[#This Row],[Intents]],[1]!Table2[#Data],7,FALSE),"")</f>
        <v>9</v>
      </c>
      <c r="Q28" s="2" t="str">
        <f>CHOOSE(BikeData[[#This Row],[Season]],"Spring","Summer","Fall","Winter")</f>
        <v>Spring</v>
      </c>
      <c r="R28" s="2" t="str">
        <f>CHOOSE(BikeData[[#This Row],[Weathersituation]],"Clear","Mist","Light Rain","Heavy Rain")</f>
        <v>Mist</v>
      </c>
      <c r="S28" s="2" t="str">
        <f>TEXT(BikeData[[#This Row],[Date]],"mmm")</f>
        <v>Jan</v>
      </c>
    </row>
    <row r="29" spans="1:19" x14ac:dyDescent="0.3">
      <c r="A29">
        <v>28</v>
      </c>
      <c r="B29" s="5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 s="6">
        <f>BikeData[[#This Row],[Temperature]]</f>
        <v>0.46</v>
      </c>
      <c r="L29">
        <f>IFERROR(VLOOKUP(BikeData[[#This Row],[Intents]],[1]!Table2[#Data],3,FALSE),"")</f>
        <v>0.94</v>
      </c>
      <c r="M29">
        <f>IFERROR(VLOOKUP(BikeData[[#This Row],[Intents]],[1]!Table2[#Data],4,FALSE),"")</f>
        <v>0.19400000000000001</v>
      </c>
      <c r="N29">
        <f>IFERROR(VLOOKUP(BikeData[[#This Row],[Intents]],[1]!Table2[#Data],5,FALSE),"")</f>
        <v>2</v>
      </c>
      <c r="O29">
        <f>IFERROR(VLOOKUP(BikeData[[#This Row],[Intents]],[1]!Table2[#Data],6,FALSE),"")</f>
        <v>4</v>
      </c>
      <c r="P29">
        <f>IFERROR(VLOOKUP(BikeData[[#This Row],[Intents]],[1]!Table2[#Data],7,FALSE),"")</f>
        <v>6</v>
      </c>
      <c r="Q29" s="2" t="str">
        <f>CHOOSE(BikeData[[#This Row],[Season]],"Spring","Summer","Fall","Winter")</f>
        <v>Spring</v>
      </c>
      <c r="R29" s="2" t="str">
        <f>CHOOSE(BikeData[[#This Row],[Weathersituation]],"Clear","Mist","Light Rain","Heavy Rain")</f>
        <v>Mist</v>
      </c>
      <c r="S29" s="2" t="str">
        <f>TEXT(BikeData[[#This Row],[Date]],"mmm")</f>
        <v>Jan</v>
      </c>
    </row>
    <row r="30" spans="1:19" x14ac:dyDescent="0.3">
      <c r="A30">
        <v>29</v>
      </c>
      <c r="B30" s="5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 s="6">
        <f>BikeData[[#This Row],[Temperature]]</f>
        <v>0.46</v>
      </c>
      <c r="L30">
        <f>IFERROR(VLOOKUP(BikeData[[#This Row],[Intents]],[1]!Table2[#Data],3,FALSE),"")</f>
        <v>0.94</v>
      </c>
      <c r="M30">
        <f>IFERROR(VLOOKUP(BikeData[[#This Row],[Intents]],[1]!Table2[#Data],4,FALSE),"")</f>
        <v>0.19400000000000001</v>
      </c>
      <c r="N30">
        <f>IFERROR(VLOOKUP(BikeData[[#This Row],[Intents]],[1]!Table2[#Data],5,FALSE),"")</f>
        <v>2</v>
      </c>
      <c r="O30">
        <f>IFERROR(VLOOKUP(BikeData[[#This Row],[Intents]],[1]!Table2[#Data],6,FALSE),"")</f>
        <v>1</v>
      </c>
      <c r="P30">
        <f>IFERROR(VLOOKUP(BikeData[[#This Row],[Intents]],[1]!Table2[#Data],7,FALSE),"")</f>
        <v>3</v>
      </c>
      <c r="Q30" s="2" t="str">
        <f>CHOOSE(BikeData[[#This Row],[Season]],"Spring","Summer","Fall","Winter")</f>
        <v>Spring</v>
      </c>
      <c r="R30" s="2" t="str">
        <f>CHOOSE(BikeData[[#This Row],[Weathersituation]],"Clear","Mist","Light Rain","Heavy Rain")</f>
        <v>Mist</v>
      </c>
      <c r="S30" s="2" t="str">
        <f>TEXT(BikeData[[#This Row],[Date]],"mmm")</f>
        <v>Jan</v>
      </c>
    </row>
    <row r="31" spans="1:19" x14ac:dyDescent="0.3">
      <c r="A31">
        <v>30</v>
      </c>
      <c r="B31" s="5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 s="6">
        <f>BikeData[[#This Row],[Temperature]]</f>
        <v>0.42</v>
      </c>
      <c r="L31">
        <f>IFERROR(VLOOKUP(BikeData[[#This Row],[Intents]],[1]!Table2[#Data],3,FALSE),"")</f>
        <v>0.77</v>
      </c>
      <c r="M31">
        <f>IFERROR(VLOOKUP(BikeData[[#This Row],[Intents]],[1]!Table2[#Data],4,FALSE),"")</f>
        <v>0.29849999999999999</v>
      </c>
      <c r="N31">
        <f>IFERROR(VLOOKUP(BikeData[[#This Row],[Intents]],[1]!Table2[#Data],5,FALSE),"")</f>
        <v>0</v>
      </c>
      <c r="O31">
        <f>IFERROR(VLOOKUP(BikeData[[#This Row],[Intents]],[1]!Table2[#Data],6,FALSE),"")</f>
        <v>2</v>
      </c>
      <c r="P31">
        <f>IFERROR(VLOOKUP(BikeData[[#This Row],[Intents]],[1]!Table2[#Data],7,FALSE),"")</f>
        <v>2</v>
      </c>
      <c r="Q31" s="2" t="str">
        <f>CHOOSE(BikeData[[#This Row],[Season]],"Spring","Summer","Fall","Winter")</f>
        <v>Spring</v>
      </c>
      <c r="R31" s="2" t="str">
        <f>CHOOSE(BikeData[[#This Row],[Weathersituation]],"Clear","Mist","Light Rain","Heavy Rain")</f>
        <v>Light Rain</v>
      </c>
      <c r="S31" s="2" t="str">
        <f>TEXT(BikeData[[#This Row],[Date]],"mmm")</f>
        <v>Jan</v>
      </c>
    </row>
    <row r="32" spans="1:19" x14ac:dyDescent="0.3">
      <c r="A32">
        <v>31</v>
      </c>
      <c r="B32" s="5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 s="6">
        <f>BikeData[[#This Row],[Temperature]]</f>
        <v>0.4</v>
      </c>
      <c r="L32">
        <f>IFERROR(VLOOKUP(BikeData[[#This Row],[Intents]],[1]!Table2[#Data],3,FALSE),"")</f>
        <v>0.76</v>
      </c>
      <c r="M32">
        <f>IFERROR(VLOOKUP(BikeData[[#This Row],[Intents]],[1]!Table2[#Data],4,FALSE),"")</f>
        <v>0.19400000000000001</v>
      </c>
      <c r="N32">
        <f>IFERROR(VLOOKUP(BikeData[[#This Row],[Intents]],[1]!Table2[#Data],5,FALSE),"")</f>
        <v>0</v>
      </c>
      <c r="O32">
        <f>IFERROR(VLOOKUP(BikeData[[#This Row],[Intents]],[1]!Table2[#Data],6,FALSE),"")</f>
        <v>1</v>
      </c>
      <c r="P32">
        <f>IFERROR(VLOOKUP(BikeData[[#This Row],[Intents]],[1]!Table2[#Data],7,FALSE),"")</f>
        <v>1</v>
      </c>
      <c r="Q32" s="2" t="str">
        <f>CHOOSE(BikeData[[#This Row],[Season]],"Spring","Summer","Fall","Winter")</f>
        <v>Spring</v>
      </c>
      <c r="R32" s="2" t="str">
        <f>CHOOSE(BikeData[[#This Row],[Weathersituation]],"Clear","Mist","Light Rain","Heavy Rain")</f>
        <v>Mist</v>
      </c>
      <c r="S32" s="2" t="str">
        <f>TEXT(BikeData[[#This Row],[Date]],"mmm")</f>
        <v>Jan</v>
      </c>
    </row>
    <row r="33" spans="1:19" x14ac:dyDescent="0.3">
      <c r="A33">
        <v>32</v>
      </c>
      <c r="B33" s="5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 s="6">
        <f>BikeData[[#This Row],[Temperature]]</f>
        <v>0.4</v>
      </c>
      <c r="L33">
        <f>IFERROR(VLOOKUP(BikeData[[#This Row],[Intents]],[1]!Table2[#Data],3,FALSE),"")</f>
        <v>0.71</v>
      </c>
      <c r="M33">
        <f>IFERROR(VLOOKUP(BikeData[[#This Row],[Intents]],[1]!Table2[#Data],4,FALSE),"")</f>
        <v>0.22389999999999999</v>
      </c>
      <c r="N33">
        <f>IFERROR(VLOOKUP(BikeData[[#This Row],[Intents]],[1]!Table2[#Data],5,FALSE),"")</f>
        <v>0</v>
      </c>
      <c r="O33">
        <f>IFERROR(VLOOKUP(BikeData[[#This Row],[Intents]],[1]!Table2[#Data],6,FALSE),"")</f>
        <v>8</v>
      </c>
      <c r="P33">
        <f>IFERROR(VLOOKUP(BikeData[[#This Row],[Intents]],[1]!Table2[#Data],7,FALSE),"")</f>
        <v>8</v>
      </c>
      <c r="Q33" s="2" t="str">
        <f>CHOOSE(BikeData[[#This Row],[Season]],"Spring","Summer","Fall","Winter")</f>
        <v>Spring</v>
      </c>
      <c r="R33" s="2" t="str">
        <f>CHOOSE(BikeData[[#This Row],[Weathersituation]],"Clear","Mist","Light Rain","Heavy Rain")</f>
        <v>Light Rain</v>
      </c>
      <c r="S33" s="2" t="str">
        <f>TEXT(BikeData[[#This Row],[Date]],"mmm")</f>
        <v>Jan</v>
      </c>
    </row>
    <row r="34" spans="1:19" x14ac:dyDescent="0.3">
      <c r="A34">
        <v>33</v>
      </c>
      <c r="B34" s="5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 s="6">
        <f>BikeData[[#This Row],[Temperature]]</f>
        <v>0.38</v>
      </c>
      <c r="L34">
        <f>IFERROR(VLOOKUP(BikeData[[#This Row],[Intents]],[1]!Table2[#Data],3,FALSE),"")</f>
        <v>0.76</v>
      </c>
      <c r="M34">
        <f>IFERROR(VLOOKUP(BikeData[[#This Row],[Intents]],[1]!Table2[#Data],4,FALSE),"")</f>
        <v>0.22389999999999999</v>
      </c>
      <c r="N34">
        <f>IFERROR(VLOOKUP(BikeData[[#This Row],[Intents]],[1]!Table2[#Data],5,FALSE),"")</f>
        <v>1</v>
      </c>
      <c r="O34">
        <f>IFERROR(VLOOKUP(BikeData[[#This Row],[Intents]],[1]!Table2[#Data],6,FALSE),"")</f>
        <v>19</v>
      </c>
      <c r="P34">
        <f>IFERROR(VLOOKUP(BikeData[[#This Row],[Intents]],[1]!Table2[#Data],7,FALSE),"")</f>
        <v>20</v>
      </c>
      <c r="Q34" s="2" t="str">
        <f>CHOOSE(BikeData[[#This Row],[Season]],"Spring","Summer","Fall","Winter")</f>
        <v>Spring</v>
      </c>
      <c r="R34" s="2" t="str">
        <f>CHOOSE(BikeData[[#This Row],[Weathersituation]],"Clear","Mist","Light Rain","Heavy Rain")</f>
        <v>Mist</v>
      </c>
      <c r="S34" s="2" t="str">
        <f>TEXT(BikeData[[#This Row],[Date]],"mmm")</f>
        <v>Jan</v>
      </c>
    </row>
    <row r="35" spans="1:19" x14ac:dyDescent="0.3">
      <c r="A35">
        <v>34</v>
      </c>
      <c r="B35" s="5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 s="6">
        <f>BikeData[[#This Row],[Temperature]]</f>
        <v>0.36</v>
      </c>
      <c r="L35">
        <f>IFERROR(VLOOKUP(BikeData[[#This Row],[Intents]],[1]!Table2[#Data],3,FALSE),"")</f>
        <v>0.81</v>
      </c>
      <c r="M35">
        <f>IFERROR(VLOOKUP(BikeData[[#This Row],[Intents]],[1]!Table2[#Data],4,FALSE),"")</f>
        <v>0.22389999999999999</v>
      </c>
      <c r="N35">
        <f>IFERROR(VLOOKUP(BikeData[[#This Row],[Intents]],[1]!Table2[#Data],5,FALSE),"")</f>
        <v>7</v>
      </c>
      <c r="O35">
        <f>IFERROR(VLOOKUP(BikeData[[#This Row],[Intents]],[1]!Table2[#Data],6,FALSE),"")</f>
        <v>46</v>
      </c>
      <c r="P35">
        <f>IFERROR(VLOOKUP(BikeData[[#This Row],[Intents]],[1]!Table2[#Data],7,FALSE),"")</f>
        <v>53</v>
      </c>
      <c r="Q35" s="2" t="str">
        <f>CHOOSE(BikeData[[#This Row],[Season]],"Spring","Summer","Fall","Winter")</f>
        <v>Spring</v>
      </c>
      <c r="R35" s="2" t="str">
        <f>CHOOSE(BikeData[[#This Row],[Weathersituation]],"Clear","Mist","Light Rain","Heavy Rain")</f>
        <v>Mist</v>
      </c>
      <c r="S35" s="2" t="str">
        <f>TEXT(BikeData[[#This Row],[Date]],"mmm")</f>
        <v>Jan</v>
      </c>
    </row>
    <row r="36" spans="1:19" x14ac:dyDescent="0.3">
      <c r="A36">
        <v>35</v>
      </c>
      <c r="B36" s="5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 s="6">
        <f>BikeData[[#This Row],[Temperature]]</f>
        <v>0.36</v>
      </c>
      <c r="L36">
        <f>IFERROR(VLOOKUP(BikeData[[#This Row],[Intents]],[1]!Table2[#Data],3,FALSE),"")</f>
        <v>0.71</v>
      </c>
      <c r="M36">
        <f>IFERROR(VLOOKUP(BikeData[[#This Row],[Intents]],[1]!Table2[#Data],4,FALSE),"")</f>
        <v>0.25369999999999998</v>
      </c>
      <c r="N36">
        <f>IFERROR(VLOOKUP(BikeData[[#This Row],[Intents]],[1]!Table2[#Data],5,FALSE),"")</f>
        <v>16</v>
      </c>
      <c r="O36">
        <f>IFERROR(VLOOKUP(BikeData[[#This Row],[Intents]],[1]!Table2[#Data],6,FALSE),"")</f>
        <v>54</v>
      </c>
      <c r="P36">
        <f>IFERROR(VLOOKUP(BikeData[[#This Row],[Intents]],[1]!Table2[#Data],7,FALSE),"")</f>
        <v>70</v>
      </c>
      <c r="Q36" s="2" t="str">
        <f>CHOOSE(BikeData[[#This Row],[Season]],"Spring","Summer","Fall","Winter")</f>
        <v>Spring</v>
      </c>
      <c r="R36" s="2" t="str">
        <f>CHOOSE(BikeData[[#This Row],[Weathersituation]],"Clear","Mist","Light Rain","Heavy Rain")</f>
        <v>Mist</v>
      </c>
      <c r="S36" s="2" t="str">
        <f>TEXT(BikeData[[#This Row],[Date]],"mmm")</f>
        <v>Jan</v>
      </c>
    </row>
    <row r="37" spans="1:19" x14ac:dyDescent="0.3">
      <c r="A37">
        <v>36</v>
      </c>
      <c r="B37" s="5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 s="6">
        <f>BikeData[[#This Row],[Temperature]]</f>
        <v>0.36</v>
      </c>
      <c r="L37">
        <f>IFERROR(VLOOKUP(BikeData[[#This Row],[Intents]],[1]!Table2[#Data],3,FALSE),"")</f>
        <v>0.66</v>
      </c>
      <c r="M37">
        <f>IFERROR(VLOOKUP(BikeData[[#This Row],[Intents]],[1]!Table2[#Data],4,FALSE),"")</f>
        <v>0.29849999999999999</v>
      </c>
      <c r="N37">
        <f>IFERROR(VLOOKUP(BikeData[[#This Row],[Intents]],[1]!Table2[#Data],5,FALSE),"")</f>
        <v>20</v>
      </c>
      <c r="O37">
        <f>IFERROR(VLOOKUP(BikeData[[#This Row],[Intents]],[1]!Table2[#Data],6,FALSE),"")</f>
        <v>73</v>
      </c>
      <c r="P37">
        <f>IFERROR(VLOOKUP(BikeData[[#This Row],[Intents]],[1]!Table2[#Data],7,FALSE),"")</f>
        <v>93</v>
      </c>
      <c r="Q37" s="2" t="str">
        <f>CHOOSE(BikeData[[#This Row],[Season]],"Spring","Summer","Fall","Winter")</f>
        <v>Spring</v>
      </c>
      <c r="R37" s="2" t="str">
        <f>CHOOSE(BikeData[[#This Row],[Weathersituation]],"Clear","Mist","Light Rain","Heavy Rain")</f>
        <v>Mist</v>
      </c>
      <c r="S37" s="2" t="str">
        <f>TEXT(BikeData[[#This Row],[Date]],"mmm")</f>
        <v>Jan</v>
      </c>
    </row>
    <row r="38" spans="1:19" x14ac:dyDescent="0.3">
      <c r="A38">
        <v>37</v>
      </c>
      <c r="B38" s="5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 s="6">
        <f>BikeData[[#This Row],[Temperature]]</f>
        <v>0.36</v>
      </c>
      <c r="L38">
        <f>IFERROR(VLOOKUP(BikeData[[#This Row],[Intents]],[1]!Table2[#Data],3,FALSE),"")</f>
        <v>0.66</v>
      </c>
      <c r="M38">
        <f>IFERROR(VLOOKUP(BikeData[[#This Row],[Intents]],[1]!Table2[#Data],4,FALSE),"")</f>
        <v>0.1343</v>
      </c>
      <c r="N38">
        <f>IFERROR(VLOOKUP(BikeData[[#This Row],[Intents]],[1]!Table2[#Data],5,FALSE),"")</f>
        <v>11</v>
      </c>
      <c r="O38">
        <f>IFERROR(VLOOKUP(BikeData[[#This Row],[Intents]],[1]!Table2[#Data],6,FALSE),"")</f>
        <v>64</v>
      </c>
      <c r="P38">
        <f>IFERROR(VLOOKUP(BikeData[[#This Row],[Intents]],[1]!Table2[#Data],7,FALSE),"")</f>
        <v>75</v>
      </c>
      <c r="Q38" s="2" t="str">
        <f>CHOOSE(BikeData[[#This Row],[Season]],"Spring","Summer","Fall","Winter")</f>
        <v>Spring</v>
      </c>
      <c r="R38" s="2" t="str">
        <f>CHOOSE(BikeData[[#This Row],[Weathersituation]],"Clear","Mist","Light Rain","Heavy Rain")</f>
        <v>Mist</v>
      </c>
      <c r="S38" s="2" t="str">
        <f>TEXT(BikeData[[#This Row],[Date]],"mmm")</f>
        <v>Jan</v>
      </c>
    </row>
    <row r="39" spans="1:19" x14ac:dyDescent="0.3">
      <c r="A39">
        <v>38</v>
      </c>
      <c r="B39" s="5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 s="6">
        <f>BikeData[[#This Row],[Temperature]]</f>
        <v>0.36</v>
      </c>
      <c r="L39">
        <f>IFERROR(VLOOKUP(BikeData[[#This Row],[Intents]],[1]!Table2[#Data],3,FALSE),"")</f>
        <v>0.76</v>
      </c>
      <c r="M39">
        <f>IFERROR(VLOOKUP(BikeData[[#This Row],[Intents]],[1]!Table2[#Data],4,FALSE),"")</f>
        <v>0.19400000000000001</v>
      </c>
      <c r="N39">
        <f>IFERROR(VLOOKUP(BikeData[[#This Row],[Intents]],[1]!Table2[#Data],5,FALSE),"")</f>
        <v>4</v>
      </c>
      <c r="O39">
        <f>IFERROR(VLOOKUP(BikeData[[#This Row],[Intents]],[1]!Table2[#Data],6,FALSE),"")</f>
        <v>55</v>
      </c>
      <c r="P39">
        <f>IFERROR(VLOOKUP(BikeData[[#This Row],[Intents]],[1]!Table2[#Data],7,FALSE),"")</f>
        <v>59</v>
      </c>
      <c r="Q39" s="2" t="str">
        <f>CHOOSE(BikeData[[#This Row],[Season]],"Spring","Summer","Fall","Winter")</f>
        <v>Spring</v>
      </c>
      <c r="R39" s="2" t="str">
        <f>CHOOSE(BikeData[[#This Row],[Weathersituation]],"Clear","Mist","Light Rain","Heavy Rain")</f>
        <v>Light Rain</v>
      </c>
      <c r="S39" s="2" t="str">
        <f>TEXT(BikeData[[#This Row],[Date]],"mmm")</f>
        <v>Jan</v>
      </c>
    </row>
    <row r="40" spans="1:19" x14ac:dyDescent="0.3">
      <c r="A40">
        <v>39</v>
      </c>
      <c r="B40" s="5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 s="6">
        <f>BikeData[[#This Row],[Temperature]]</f>
        <v>0.34</v>
      </c>
      <c r="L40">
        <f>IFERROR(VLOOKUP(BikeData[[#This Row],[Intents]],[1]!Table2[#Data],3,FALSE),"")</f>
        <v>0.81</v>
      </c>
      <c r="M40">
        <f>IFERROR(VLOOKUP(BikeData[[#This Row],[Intents]],[1]!Table2[#Data],4,FALSE),"")</f>
        <v>0.16420000000000001</v>
      </c>
      <c r="N40">
        <f>IFERROR(VLOOKUP(BikeData[[#This Row],[Intents]],[1]!Table2[#Data],5,FALSE),"")</f>
        <v>19</v>
      </c>
      <c r="O40">
        <f>IFERROR(VLOOKUP(BikeData[[#This Row],[Intents]],[1]!Table2[#Data],6,FALSE),"")</f>
        <v>55</v>
      </c>
      <c r="P40">
        <f>IFERROR(VLOOKUP(BikeData[[#This Row],[Intents]],[1]!Table2[#Data],7,FALSE),"")</f>
        <v>74</v>
      </c>
      <c r="Q40" s="2" t="str">
        <f>CHOOSE(BikeData[[#This Row],[Season]],"Spring","Summer","Fall","Winter")</f>
        <v>Spring</v>
      </c>
      <c r="R40" s="2" t="str">
        <f>CHOOSE(BikeData[[#This Row],[Weathersituation]],"Clear","Mist","Light Rain","Heavy Rain")</f>
        <v>Light Rain</v>
      </c>
      <c r="S40" s="2" t="str">
        <f>TEXT(BikeData[[#This Row],[Date]],"mmm")</f>
        <v>Jan</v>
      </c>
    </row>
    <row r="41" spans="1:19" x14ac:dyDescent="0.3">
      <c r="A41">
        <v>40</v>
      </c>
      <c r="B41" s="5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 s="6">
        <f>BikeData[[#This Row],[Temperature]]</f>
        <v>0.34</v>
      </c>
      <c r="L41">
        <f>IFERROR(VLOOKUP(BikeData[[#This Row],[Intents]],[1]!Table2[#Data],3,FALSE),"")</f>
        <v>0.71</v>
      </c>
      <c r="M41">
        <f>IFERROR(VLOOKUP(BikeData[[#This Row],[Intents]],[1]!Table2[#Data],4,FALSE),"")</f>
        <v>0.16420000000000001</v>
      </c>
      <c r="N41">
        <f>IFERROR(VLOOKUP(BikeData[[#This Row],[Intents]],[1]!Table2[#Data],5,FALSE),"")</f>
        <v>9</v>
      </c>
      <c r="O41">
        <f>IFERROR(VLOOKUP(BikeData[[#This Row],[Intents]],[1]!Table2[#Data],6,FALSE),"")</f>
        <v>67</v>
      </c>
      <c r="P41">
        <f>IFERROR(VLOOKUP(BikeData[[#This Row],[Intents]],[1]!Table2[#Data],7,FALSE),"")</f>
        <v>76</v>
      </c>
      <c r="Q41" s="2" t="str">
        <f>CHOOSE(BikeData[[#This Row],[Season]],"Spring","Summer","Fall","Winter")</f>
        <v>Spring</v>
      </c>
      <c r="R41" s="2" t="str">
        <f>CHOOSE(BikeData[[#This Row],[Weathersituation]],"Clear","Mist","Light Rain","Heavy Rain")</f>
        <v>Light Rain</v>
      </c>
      <c r="S41" s="2" t="str">
        <f>TEXT(BikeData[[#This Row],[Date]],"mmm")</f>
        <v>Jan</v>
      </c>
    </row>
    <row r="42" spans="1:19" x14ac:dyDescent="0.3">
      <c r="A42">
        <v>41</v>
      </c>
      <c r="B42" s="5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 s="6">
        <f>BikeData[[#This Row],[Temperature]]</f>
        <v>0.34</v>
      </c>
      <c r="L42">
        <f>IFERROR(VLOOKUP(BikeData[[#This Row],[Intents]],[1]!Table2[#Data],3,FALSE),"")</f>
        <v>0.56999999999999995</v>
      </c>
      <c r="M42">
        <f>IFERROR(VLOOKUP(BikeData[[#This Row],[Intents]],[1]!Table2[#Data],4,FALSE),"")</f>
        <v>0.19400000000000001</v>
      </c>
      <c r="N42">
        <f>IFERROR(VLOOKUP(BikeData[[#This Row],[Intents]],[1]!Table2[#Data],5,FALSE),"")</f>
        <v>7</v>
      </c>
      <c r="O42">
        <f>IFERROR(VLOOKUP(BikeData[[#This Row],[Intents]],[1]!Table2[#Data],6,FALSE),"")</f>
        <v>58</v>
      </c>
      <c r="P42">
        <f>IFERROR(VLOOKUP(BikeData[[#This Row],[Intents]],[1]!Table2[#Data],7,FALSE),"")</f>
        <v>65</v>
      </c>
      <c r="Q42" s="2" t="str">
        <f>CHOOSE(BikeData[[#This Row],[Season]],"Spring","Summer","Fall","Winter")</f>
        <v>Spring</v>
      </c>
      <c r="R42" s="2" t="str">
        <f>CHOOSE(BikeData[[#This Row],[Weathersituation]],"Clear","Mist","Light Rain","Heavy Rain")</f>
        <v>Clear</v>
      </c>
      <c r="S42" s="2" t="str">
        <f>TEXT(BikeData[[#This Row],[Date]],"mmm")</f>
        <v>Jan</v>
      </c>
    </row>
    <row r="43" spans="1:19" x14ac:dyDescent="0.3">
      <c r="A43">
        <v>42</v>
      </c>
      <c r="B43" s="5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 s="6">
        <f>BikeData[[#This Row],[Temperature]]</f>
        <v>0.36</v>
      </c>
      <c r="L43">
        <f>IFERROR(VLOOKUP(BikeData[[#This Row],[Intents]],[1]!Table2[#Data],3,FALSE),"")</f>
        <v>0.46</v>
      </c>
      <c r="M43">
        <f>IFERROR(VLOOKUP(BikeData[[#This Row],[Intents]],[1]!Table2[#Data],4,FALSE),"")</f>
        <v>0.32840000000000003</v>
      </c>
      <c r="N43">
        <f>IFERROR(VLOOKUP(BikeData[[#This Row],[Intents]],[1]!Table2[#Data],5,FALSE),"")</f>
        <v>10</v>
      </c>
      <c r="O43">
        <f>IFERROR(VLOOKUP(BikeData[[#This Row],[Intents]],[1]!Table2[#Data],6,FALSE),"")</f>
        <v>43</v>
      </c>
      <c r="P43">
        <f>IFERROR(VLOOKUP(BikeData[[#This Row],[Intents]],[1]!Table2[#Data],7,FALSE),"")</f>
        <v>53</v>
      </c>
      <c r="Q43" s="2" t="str">
        <f>CHOOSE(BikeData[[#This Row],[Season]],"Spring","Summer","Fall","Winter")</f>
        <v>Spring</v>
      </c>
      <c r="R43" s="2" t="str">
        <f>CHOOSE(BikeData[[#This Row],[Weathersituation]],"Clear","Mist","Light Rain","Heavy Rain")</f>
        <v>Mist</v>
      </c>
      <c r="S43" s="2" t="str">
        <f>TEXT(BikeData[[#This Row],[Date]],"mmm")</f>
        <v>Jan</v>
      </c>
    </row>
    <row r="44" spans="1:19" x14ac:dyDescent="0.3">
      <c r="A44">
        <v>43</v>
      </c>
      <c r="B44" s="5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 s="6">
        <f>BikeData[[#This Row],[Temperature]]</f>
        <v>0.32</v>
      </c>
      <c r="L44">
        <f>IFERROR(VLOOKUP(BikeData[[#This Row],[Intents]],[1]!Table2[#Data],3,FALSE),"")</f>
        <v>0.42</v>
      </c>
      <c r="M44">
        <f>IFERROR(VLOOKUP(BikeData[[#This Row],[Intents]],[1]!Table2[#Data],4,FALSE),"")</f>
        <v>0.44779999999999998</v>
      </c>
      <c r="N44">
        <f>IFERROR(VLOOKUP(BikeData[[#This Row],[Intents]],[1]!Table2[#Data],5,FALSE),"")</f>
        <v>1</v>
      </c>
      <c r="O44">
        <f>IFERROR(VLOOKUP(BikeData[[#This Row],[Intents]],[1]!Table2[#Data],6,FALSE),"")</f>
        <v>29</v>
      </c>
      <c r="P44">
        <f>IFERROR(VLOOKUP(BikeData[[#This Row],[Intents]],[1]!Table2[#Data],7,FALSE),"")</f>
        <v>30</v>
      </c>
      <c r="Q44" s="2" t="str">
        <f>CHOOSE(BikeData[[#This Row],[Season]],"Spring","Summer","Fall","Winter")</f>
        <v>Spring</v>
      </c>
      <c r="R44" s="2" t="str">
        <f>CHOOSE(BikeData[[#This Row],[Weathersituation]],"Clear","Mist","Light Rain","Heavy Rain")</f>
        <v>Clear</v>
      </c>
      <c r="S44" s="2" t="str">
        <f>TEXT(BikeData[[#This Row],[Date]],"mmm")</f>
        <v>Jan</v>
      </c>
    </row>
    <row r="45" spans="1:19" x14ac:dyDescent="0.3">
      <c r="A45">
        <v>44</v>
      </c>
      <c r="B45" s="5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 s="6">
        <f>BikeData[[#This Row],[Temperature]]</f>
        <v>0.3</v>
      </c>
      <c r="L45">
        <f>IFERROR(VLOOKUP(BikeData[[#This Row],[Intents]],[1]!Table2[#Data],3,FALSE),"")</f>
        <v>0.39</v>
      </c>
      <c r="M45">
        <f>IFERROR(VLOOKUP(BikeData[[#This Row],[Intents]],[1]!Table2[#Data],4,FALSE),"")</f>
        <v>0.35820000000000002</v>
      </c>
      <c r="N45">
        <f>IFERROR(VLOOKUP(BikeData[[#This Row],[Intents]],[1]!Table2[#Data],5,FALSE),"")</f>
        <v>5</v>
      </c>
      <c r="O45">
        <f>IFERROR(VLOOKUP(BikeData[[#This Row],[Intents]],[1]!Table2[#Data],6,FALSE),"")</f>
        <v>17</v>
      </c>
      <c r="P45">
        <f>IFERROR(VLOOKUP(BikeData[[#This Row],[Intents]],[1]!Table2[#Data],7,FALSE),"")</f>
        <v>22</v>
      </c>
      <c r="Q45" s="2" t="str">
        <f>CHOOSE(BikeData[[#This Row],[Season]],"Spring","Summer","Fall","Winter")</f>
        <v>Spring</v>
      </c>
      <c r="R45" s="2" t="str">
        <f>CHOOSE(BikeData[[#This Row],[Weathersituation]],"Clear","Mist","Light Rain","Heavy Rain")</f>
        <v>Clear</v>
      </c>
      <c r="S45" s="2" t="str">
        <f>TEXT(BikeData[[#This Row],[Date]],"mmm")</f>
        <v>Jan</v>
      </c>
    </row>
    <row r="46" spans="1:19" x14ac:dyDescent="0.3">
      <c r="A46">
        <v>45</v>
      </c>
      <c r="B46" s="5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 s="6">
        <f>BikeData[[#This Row],[Temperature]]</f>
        <v>0.26</v>
      </c>
      <c r="L46">
        <f>IFERROR(VLOOKUP(BikeData[[#This Row],[Intents]],[1]!Table2[#Data],3,FALSE),"")</f>
        <v>0.44</v>
      </c>
      <c r="M46">
        <f>IFERROR(VLOOKUP(BikeData[[#This Row],[Intents]],[1]!Table2[#Data],4,FALSE),"")</f>
        <v>0.32840000000000003</v>
      </c>
      <c r="N46">
        <f>IFERROR(VLOOKUP(BikeData[[#This Row],[Intents]],[1]!Table2[#Data],5,FALSE),"")</f>
        <v>11</v>
      </c>
      <c r="O46">
        <f>IFERROR(VLOOKUP(BikeData[[#This Row],[Intents]],[1]!Table2[#Data],6,FALSE),"")</f>
        <v>20</v>
      </c>
      <c r="P46">
        <f>IFERROR(VLOOKUP(BikeData[[#This Row],[Intents]],[1]!Table2[#Data],7,FALSE),"")</f>
        <v>31</v>
      </c>
      <c r="Q46" s="2" t="str">
        <f>CHOOSE(BikeData[[#This Row],[Season]],"Spring","Summer","Fall","Winter")</f>
        <v>Spring</v>
      </c>
      <c r="R46" s="2" t="str">
        <f>CHOOSE(BikeData[[#This Row],[Weathersituation]],"Clear","Mist","Light Rain","Heavy Rain")</f>
        <v>Clear</v>
      </c>
      <c r="S46" s="2" t="str">
        <f>TEXT(BikeData[[#This Row],[Date]],"mmm")</f>
        <v>Jan</v>
      </c>
    </row>
    <row r="47" spans="1:19" x14ac:dyDescent="0.3">
      <c r="A47">
        <v>46</v>
      </c>
      <c r="B47" s="5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 s="6">
        <f>BikeData[[#This Row],[Temperature]]</f>
        <v>0.24</v>
      </c>
      <c r="L47">
        <f>IFERROR(VLOOKUP(BikeData[[#This Row],[Intents]],[1]!Table2[#Data],3,FALSE),"")</f>
        <v>0.44</v>
      </c>
      <c r="M47">
        <f>IFERROR(VLOOKUP(BikeData[[#This Row],[Intents]],[1]!Table2[#Data],4,FALSE),"")</f>
        <v>0.29849999999999999</v>
      </c>
      <c r="N47">
        <f>IFERROR(VLOOKUP(BikeData[[#This Row],[Intents]],[1]!Table2[#Data],5,FALSE),"")</f>
        <v>0</v>
      </c>
      <c r="O47">
        <f>IFERROR(VLOOKUP(BikeData[[#This Row],[Intents]],[1]!Table2[#Data],6,FALSE),"")</f>
        <v>9</v>
      </c>
      <c r="P47">
        <f>IFERROR(VLOOKUP(BikeData[[#This Row],[Intents]],[1]!Table2[#Data],7,FALSE),"")</f>
        <v>9</v>
      </c>
      <c r="Q47" s="2" t="str">
        <f>CHOOSE(BikeData[[#This Row],[Season]],"Spring","Summer","Fall","Winter")</f>
        <v>Spring</v>
      </c>
      <c r="R47" s="2" t="str">
        <f>CHOOSE(BikeData[[#This Row],[Weathersituation]],"Clear","Mist","Light Rain","Heavy Rain")</f>
        <v>Clear</v>
      </c>
      <c r="S47" s="2" t="str">
        <f>TEXT(BikeData[[#This Row],[Date]],"mmm")</f>
        <v>Jan</v>
      </c>
    </row>
    <row r="48" spans="1:19" x14ac:dyDescent="0.3">
      <c r="A48">
        <v>47</v>
      </c>
      <c r="B48" s="5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 s="6">
        <f>BikeData[[#This Row],[Temperature]]</f>
        <v>0.22</v>
      </c>
      <c r="L48">
        <f>IFERROR(VLOOKUP(BikeData[[#This Row],[Intents]],[1]!Table2[#Data],3,FALSE),"")</f>
        <v>0.47</v>
      </c>
      <c r="M48">
        <f>IFERROR(VLOOKUP(BikeData[[#This Row],[Intents]],[1]!Table2[#Data],4,FALSE),"")</f>
        <v>0.16420000000000001</v>
      </c>
      <c r="N48">
        <f>IFERROR(VLOOKUP(BikeData[[#This Row],[Intents]],[1]!Table2[#Data],5,FALSE),"")</f>
        <v>0</v>
      </c>
      <c r="O48">
        <f>IFERROR(VLOOKUP(BikeData[[#This Row],[Intents]],[1]!Table2[#Data],6,FALSE),"")</f>
        <v>8</v>
      </c>
      <c r="P48">
        <f>IFERROR(VLOOKUP(BikeData[[#This Row],[Intents]],[1]!Table2[#Data],7,FALSE),"")</f>
        <v>8</v>
      </c>
      <c r="Q48" s="2" t="str">
        <f>CHOOSE(BikeData[[#This Row],[Season]],"Spring","Summer","Fall","Winter")</f>
        <v>Spring</v>
      </c>
      <c r="R48" s="2" t="str">
        <f>CHOOSE(BikeData[[#This Row],[Weathersituation]],"Clear","Mist","Light Rain","Heavy Rain")</f>
        <v>Clear</v>
      </c>
      <c r="S48" s="2" t="str">
        <f>TEXT(BikeData[[#This Row],[Date]],"mmm")</f>
        <v>Jan</v>
      </c>
    </row>
    <row r="49" spans="1:19" x14ac:dyDescent="0.3">
      <c r="A49">
        <v>48</v>
      </c>
      <c r="B49" s="5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 s="6">
        <f>BikeData[[#This Row],[Temperature]]</f>
        <v>0.22</v>
      </c>
      <c r="L49">
        <f>IFERROR(VLOOKUP(BikeData[[#This Row],[Intents]],[1]!Table2[#Data],3,FALSE),"")</f>
        <v>0.44</v>
      </c>
      <c r="M49">
        <f>IFERROR(VLOOKUP(BikeData[[#This Row],[Intents]],[1]!Table2[#Data],4,FALSE),"")</f>
        <v>0.35820000000000002</v>
      </c>
      <c r="N49">
        <f>IFERROR(VLOOKUP(BikeData[[#This Row],[Intents]],[1]!Table2[#Data],5,FALSE),"")</f>
        <v>0</v>
      </c>
      <c r="O49">
        <f>IFERROR(VLOOKUP(BikeData[[#This Row],[Intents]],[1]!Table2[#Data],6,FALSE),"")</f>
        <v>5</v>
      </c>
      <c r="P49">
        <f>IFERROR(VLOOKUP(BikeData[[#This Row],[Intents]],[1]!Table2[#Data],7,FALSE),"")</f>
        <v>5</v>
      </c>
      <c r="Q49" s="2" t="str">
        <f>CHOOSE(BikeData[[#This Row],[Season]],"Spring","Summer","Fall","Winter")</f>
        <v>Spring</v>
      </c>
      <c r="R49" s="2" t="str">
        <f>CHOOSE(BikeData[[#This Row],[Weathersituation]],"Clear","Mist","Light Rain","Heavy Rain")</f>
        <v>Clear</v>
      </c>
      <c r="S49" s="2" t="str">
        <f>TEXT(BikeData[[#This Row],[Date]],"mmm")</f>
        <v>Jan</v>
      </c>
    </row>
    <row r="50" spans="1:19" x14ac:dyDescent="0.3">
      <c r="A50">
        <v>49</v>
      </c>
      <c r="B50" s="5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 s="6">
        <f>BikeData[[#This Row],[Temperature]]</f>
        <v>0.2</v>
      </c>
      <c r="L50">
        <f>IFERROR(VLOOKUP(BikeData[[#This Row],[Intents]],[1]!Table2[#Data],3,FALSE),"")</f>
        <v>0.44</v>
      </c>
      <c r="M50">
        <f>IFERROR(VLOOKUP(BikeData[[#This Row],[Intents]],[1]!Table2[#Data],4,FALSE),"")</f>
        <v>0.41789999999999999</v>
      </c>
      <c r="N50">
        <f>IFERROR(VLOOKUP(BikeData[[#This Row],[Intents]],[1]!Table2[#Data],5,FALSE),"")</f>
        <v>0</v>
      </c>
      <c r="O50">
        <f>IFERROR(VLOOKUP(BikeData[[#This Row],[Intents]],[1]!Table2[#Data],6,FALSE),"")</f>
        <v>2</v>
      </c>
      <c r="P50">
        <f>IFERROR(VLOOKUP(BikeData[[#This Row],[Intents]],[1]!Table2[#Data],7,FALSE),"")</f>
        <v>2</v>
      </c>
      <c r="Q50" s="2" t="str">
        <f>CHOOSE(BikeData[[#This Row],[Season]],"Spring","Summer","Fall","Winter")</f>
        <v>Spring</v>
      </c>
      <c r="R50" s="2" t="str">
        <f>CHOOSE(BikeData[[#This Row],[Weathersituation]],"Clear","Mist","Light Rain","Heavy Rain")</f>
        <v>Clear</v>
      </c>
      <c r="S50" s="2" t="str">
        <f>TEXT(BikeData[[#This Row],[Date]],"mmm")</f>
        <v>Jan</v>
      </c>
    </row>
    <row r="51" spans="1:19" x14ac:dyDescent="0.3">
      <c r="A51">
        <v>50</v>
      </c>
      <c r="B51" s="5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 s="6">
        <f>BikeData[[#This Row],[Temperature]]</f>
        <v>0.16</v>
      </c>
      <c r="L51">
        <f>IFERROR(VLOOKUP(BikeData[[#This Row],[Intents]],[1]!Table2[#Data],3,FALSE),"")</f>
        <v>0.47</v>
      </c>
      <c r="M51">
        <f>IFERROR(VLOOKUP(BikeData[[#This Row],[Intents]],[1]!Table2[#Data],4,FALSE),"")</f>
        <v>0.3881</v>
      </c>
      <c r="N51">
        <f>IFERROR(VLOOKUP(BikeData[[#This Row],[Intents]],[1]!Table2[#Data],5,FALSE),"")</f>
        <v>0</v>
      </c>
      <c r="O51">
        <f>IFERROR(VLOOKUP(BikeData[[#This Row],[Intents]],[1]!Table2[#Data],6,FALSE),"")</f>
        <v>1</v>
      </c>
      <c r="P51">
        <f>IFERROR(VLOOKUP(BikeData[[#This Row],[Intents]],[1]!Table2[#Data],7,FALSE),"")</f>
        <v>1</v>
      </c>
      <c r="Q51" s="2" t="str">
        <f>CHOOSE(BikeData[[#This Row],[Season]],"Spring","Summer","Fall","Winter")</f>
        <v>Spring</v>
      </c>
      <c r="R51" s="2" t="str">
        <f>CHOOSE(BikeData[[#This Row],[Weathersituation]],"Clear","Mist","Light Rain","Heavy Rain")</f>
        <v>Clear</v>
      </c>
      <c r="S51" s="2" t="str">
        <f>TEXT(BikeData[[#This Row],[Date]],"mmm")</f>
        <v>Jan</v>
      </c>
    </row>
    <row r="52" spans="1:19" x14ac:dyDescent="0.3">
      <c r="A52">
        <v>51</v>
      </c>
      <c r="B52" s="5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 s="6">
        <f>BikeData[[#This Row],[Temperature]]</f>
        <v>0.16</v>
      </c>
      <c r="L52">
        <f>IFERROR(VLOOKUP(BikeData[[#This Row],[Intents]],[1]!Table2[#Data],3,FALSE),"")</f>
        <v>0.47</v>
      </c>
      <c r="M52">
        <f>IFERROR(VLOOKUP(BikeData[[#This Row],[Intents]],[1]!Table2[#Data],4,FALSE),"")</f>
        <v>0.28360000000000002</v>
      </c>
      <c r="N52">
        <f>IFERROR(VLOOKUP(BikeData[[#This Row],[Intents]],[1]!Table2[#Data],5,FALSE),"")</f>
        <v>0</v>
      </c>
      <c r="O52">
        <f>IFERROR(VLOOKUP(BikeData[[#This Row],[Intents]],[1]!Table2[#Data],6,FALSE),"")</f>
        <v>3</v>
      </c>
      <c r="P52">
        <f>IFERROR(VLOOKUP(BikeData[[#This Row],[Intents]],[1]!Table2[#Data],7,FALSE),"")</f>
        <v>3</v>
      </c>
      <c r="Q52" s="2" t="str">
        <f>CHOOSE(BikeData[[#This Row],[Season]],"Spring","Summer","Fall","Winter")</f>
        <v>Spring</v>
      </c>
      <c r="R52" s="2" t="str">
        <f>CHOOSE(BikeData[[#This Row],[Weathersituation]],"Clear","Mist","Light Rain","Heavy Rain")</f>
        <v>Clear</v>
      </c>
      <c r="S52" s="2" t="str">
        <f>TEXT(BikeData[[#This Row],[Date]],"mmm")</f>
        <v>Jan</v>
      </c>
    </row>
    <row r="53" spans="1:19" x14ac:dyDescent="0.3">
      <c r="A53">
        <v>52</v>
      </c>
      <c r="B53" s="5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 s="6">
        <f>BikeData[[#This Row],[Temperature]]</f>
        <v>0.14000000000000001</v>
      </c>
      <c r="L53">
        <f>IFERROR(VLOOKUP(BikeData[[#This Row],[Intents]],[1]!Table2[#Data],3,FALSE),"")</f>
        <v>0.5</v>
      </c>
      <c r="M53">
        <f>IFERROR(VLOOKUP(BikeData[[#This Row],[Intents]],[1]!Table2[#Data],4,FALSE),"")</f>
        <v>0.3881</v>
      </c>
      <c r="N53">
        <f>IFERROR(VLOOKUP(BikeData[[#This Row],[Intents]],[1]!Table2[#Data],5,FALSE),"")</f>
        <v>0</v>
      </c>
      <c r="O53">
        <f>IFERROR(VLOOKUP(BikeData[[#This Row],[Intents]],[1]!Table2[#Data],6,FALSE),"")</f>
        <v>30</v>
      </c>
      <c r="P53">
        <f>IFERROR(VLOOKUP(BikeData[[#This Row],[Intents]],[1]!Table2[#Data],7,FALSE),"")</f>
        <v>30</v>
      </c>
      <c r="Q53" s="2" t="str">
        <f>CHOOSE(BikeData[[#This Row],[Season]],"Spring","Summer","Fall","Winter")</f>
        <v>Spring</v>
      </c>
      <c r="R53" s="2" t="str">
        <f>CHOOSE(BikeData[[#This Row],[Weathersituation]],"Clear","Mist","Light Rain","Heavy Rain")</f>
        <v>Clear</v>
      </c>
      <c r="S53" s="2" t="str">
        <f>TEXT(BikeData[[#This Row],[Date]],"mmm")</f>
        <v>Jan</v>
      </c>
    </row>
    <row r="54" spans="1:19" x14ac:dyDescent="0.3">
      <c r="A54">
        <v>53</v>
      </c>
      <c r="B54" s="5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 s="6">
        <f>BikeData[[#This Row],[Temperature]]</f>
        <v>0.14000000000000001</v>
      </c>
      <c r="L54">
        <f>IFERROR(VLOOKUP(BikeData[[#This Row],[Intents]],[1]!Table2[#Data],3,FALSE),"")</f>
        <v>0.5</v>
      </c>
      <c r="M54">
        <f>IFERROR(VLOOKUP(BikeData[[#This Row],[Intents]],[1]!Table2[#Data],4,FALSE),"")</f>
        <v>0.19400000000000001</v>
      </c>
      <c r="N54">
        <f>IFERROR(VLOOKUP(BikeData[[#This Row],[Intents]],[1]!Table2[#Data],5,FALSE),"")</f>
        <v>1</v>
      </c>
      <c r="O54">
        <f>IFERROR(VLOOKUP(BikeData[[#This Row],[Intents]],[1]!Table2[#Data],6,FALSE),"")</f>
        <v>63</v>
      </c>
      <c r="P54">
        <f>IFERROR(VLOOKUP(BikeData[[#This Row],[Intents]],[1]!Table2[#Data],7,FALSE),"")</f>
        <v>64</v>
      </c>
      <c r="Q54" s="2" t="str">
        <f>CHOOSE(BikeData[[#This Row],[Season]],"Spring","Summer","Fall","Winter")</f>
        <v>Spring</v>
      </c>
      <c r="R54" s="2" t="str">
        <f>CHOOSE(BikeData[[#This Row],[Weathersituation]],"Clear","Mist","Light Rain","Heavy Rain")</f>
        <v>Clear</v>
      </c>
      <c r="S54" s="2" t="str">
        <f>TEXT(BikeData[[#This Row],[Date]],"mmm")</f>
        <v>Jan</v>
      </c>
    </row>
    <row r="55" spans="1:19" x14ac:dyDescent="0.3">
      <c r="A55">
        <v>54</v>
      </c>
      <c r="B55" s="5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 s="6">
        <f>BikeData[[#This Row],[Temperature]]</f>
        <v>0.14000000000000001</v>
      </c>
      <c r="L55">
        <f>IFERROR(VLOOKUP(BikeData[[#This Row],[Intents]],[1]!Table2[#Data],3,FALSE),"")</f>
        <v>0.5</v>
      </c>
      <c r="M55">
        <f>IFERROR(VLOOKUP(BikeData[[#This Row],[Intents]],[1]!Table2[#Data],4,FALSE),"")</f>
        <v>0.28360000000000002</v>
      </c>
      <c r="N55">
        <f>IFERROR(VLOOKUP(BikeData[[#This Row],[Intents]],[1]!Table2[#Data],5,FALSE),"")</f>
        <v>1</v>
      </c>
      <c r="O55">
        <f>IFERROR(VLOOKUP(BikeData[[#This Row],[Intents]],[1]!Table2[#Data],6,FALSE),"")</f>
        <v>153</v>
      </c>
      <c r="P55">
        <f>IFERROR(VLOOKUP(BikeData[[#This Row],[Intents]],[1]!Table2[#Data],7,FALSE),"")</f>
        <v>154</v>
      </c>
      <c r="Q55" s="2" t="str">
        <f>CHOOSE(BikeData[[#This Row],[Season]],"Spring","Summer","Fall","Winter")</f>
        <v>Spring</v>
      </c>
      <c r="R55" s="2" t="str">
        <f>CHOOSE(BikeData[[#This Row],[Weathersituation]],"Clear","Mist","Light Rain","Heavy Rain")</f>
        <v>Clear</v>
      </c>
      <c r="S55" s="2" t="str">
        <f>TEXT(BikeData[[#This Row],[Date]],"mmm")</f>
        <v>Jan</v>
      </c>
    </row>
    <row r="56" spans="1:19" x14ac:dyDescent="0.3">
      <c r="A56">
        <v>55</v>
      </c>
      <c r="B56" s="5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 s="6">
        <f>BikeData[[#This Row],[Temperature]]</f>
        <v>0.16</v>
      </c>
      <c r="L56">
        <f>IFERROR(VLOOKUP(BikeData[[#This Row],[Intents]],[1]!Table2[#Data],3,FALSE),"")</f>
        <v>0.43</v>
      </c>
      <c r="M56">
        <f>IFERROR(VLOOKUP(BikeData[[#This Row],[Intents]],[1]!Table2[#Data],4,FALSE),"")</f>
        <v>0.3881</v>
      </c>
      <c r="N56">
        <f>IFERROR(VLOOKUP(BikeData[[#This Row],[Intents]],[1]!Table2[#Data],5,FALSE),"")</f>
        <v>7</v>
      </c>
      <c r="O56">
        <f>IFERROR(VLOOKUP(BikeData[[#This Row],[Intents]],[1]!Table2[#Data],6,FALSE),"")</f>
        <v>81</v>
      </c>
      <c r="P56">
        <f>IFERROR(VLOOKUP(BikeData[[#This Row],[Intents]],[1]!Table2[#Data],7,FALSE),"")</f>
        <v>88</v>
      </c>
      <c r="Q56" s="2" t="str">
        <f>CHOOSE(BikeData[[#This Row],[Season]],"Spring","Summer","Fall","Winter")</f>
        <v>Spring</v>
      </c>
      <c r="R56" s="2" t="str">
        <f>CHOOSE(BikeData[[#This Row],[Weathersituation]],"Clear","Mist","Light Rain","Heavy Rain")</f>
        <v>Clear</v>
      </c>
      <c r="S56" s="2" t="str">
        <f>TEXT(BikeData[[#This Row],[Date]],"mmm")</f>
        <v>Jan</v>
      </c>
    </row>
    <row r="57" spans="1:19" x14ac:dyDescent="0.3">
      <c r="A57">
        <v>56</v>
      </c>
      <c r="B57" s="5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 s="6">
        <f>BikeData[[#This Row],[Temperature]]</f>
        <v>0.18</v>
      </c>
      <c r="L57">
        <f>IFERROR(VLOOKUP(BikeData[[#This Row],[Intents]],[1]!Table2[#Data],3,FALSE),"")</f>
        <v>0.43</v>
      </c>
      <c r="M57">
        <f>IFERROR(VLOOKUP(BikeData[[#This Row],[Intents]],[1]!Table2[#Data],4,FALSE),"")</f>
        <v>0.25369999999999998</v>
      </c>
      <c r="N57">
        <f>IFERROR(VLOOKUP(BikeData[[#This Row],[Intents]],[1]!Table2[#Data],5,FALSE),"")</f>
        <v>11</v>
      </c>
      <c r="O57">
        <f>IFERROR(VLOOKUP(BikeData[[#This Row],[Intents]],[1]!Table2[#Data],6,FALSE),"")</f>
        <v>33</v>
      </c>
      <c r="P57">
        <f>IFERROR(VLOOKUP(BikeData[[#This Row],[Intents]],[1]!Table2[#Data],7,FALSE),"")</f>
        <v>44</v>
      </c>
      <c r="Q57" s="2" t="str">
        <f>CHOOSE(BikeData[[#This Row],[Season]],"Spring","Summer","Fall","Winter")</f>
        <v>Spring</v>
      </c>
      <c r="R57" s="2" t="str">
        <f>CHOOSE(BikeData[[#This Row],[Weathersituation]],"Clear","Mist","Light Rain","Heavy Rain")</f>
        <v>Clear</v>
      </c>
      <c r="S57" s="2" t="str">
        <f>TEXT(BikeData[[#This Row],[Date]],"mmm")</f>
        <v>Jan</v>
      </c>
    </row>
    <row r="58" spans="1:19" x14ac:dyDescent="0.3">
      <c r="A58">
        <v>57</v>
      </c>
      <c r="B58" s="5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 s="6">
        <f>BikeData[[#This Row],[Temperature]]</f>
        <v>0.2</v>
      </c>
      <c r="L58">
        <f>IFERROR(VLOOKUP(BikeData[[#This Row],[Intents]],[1]!Table2[#Data],3,FALSE),"")</f>
        <v>0.4</v>
      </c>
      <c r="M58">
        <f>IFERROR(VLOOKUP(BikeData[[#This Row],[Intents]],[1]!Table2[#Data],4,FALSE),"")</f>
        <v>0.32840000000000003</v>
      </c>
      <c r="N58">
        <f>IFERROR(VLOOKUP(BikeData[[#This Row],[Intents]],[1]!Table2[#Data],5,FALSE),"")</f>
        <v>10</v>
      </c>
      <c r="O58">
        <f>IFERROR(VLOOKUP(BikeData[[#This Row],[Intents]],[1]!Table2[#Data],6,FALSE),"")</f>
        <v>41</v>
      </c>
      <c r="P58">
        <f>IFERROR(VLOOKUP(BikeData[[#This Row],[Intents]],[1]!Table2[#Data],7,FALSE),"")</f>
        <v>51</v>
      </c>
      <c r="Q58" s="2" t="str">
        <f>CHOOSE(BikeData[[#This Row],[Season]],"Spring","Summer","Fall","Winter")</f>
        <v>Spring</v>
      </c>
      <c r="R58" s="2" t="str">
        <f>CHOOSE(BikeData[[#This Row],[Weathersituation]],"Clear","Mist","Light Rain","Heavy Rain")</f>
        <v>Clear</v>
      </c>
      <c r="S58" s="2" t="str">
        <f>TEXT(BikeData[[#This Row],[Date]],"mmm")</f>
        <v>Jan</v>
      </c>
    </row>
    <row r="59" spans="1:19" x14ac:dyDescent="0.3">
      <c r="A59">
        <v>58</v>
      </c>
      <c r="B59" s="5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 s="6">
        <f>BikeData[[#This Row],[Temperature]]</f>
        <v>0.22</v>
      </c>
      <c r="L59">
        <f>IFERROR(VLOOKUP(BikeData[[#This Row],[Intents]],[1]!Table2[#Data],3,FALSE),"")</f>
        <v>0.35</v>
      </c>
      <c r="M59">
        <f>IFERROR(VLOOKUP(BikeData[[#This Row],[Intents]],[1]!Table2[#Data],4,FALSE),"")</f>
        <v>0.29849999999999999</v>
      </c>
      <c r="N59">
        <f>IFERROR(VLOOKUP(BikeData[[#This Row],[Intents]],[1]!Table2[#Data],5,FALSE),"")</f>
        <v>13</v>
      </c>
      <c r="O59">
        <f>IFERROR(VLOOKUP(BikeData[[#This Row],[Intents]],[1]!Table2[#Data],6,FALSE),"")</f>
        <v>48</v>
      </c>
      <c r="P59">
        <f>IFERROR(VLOOKUP(BikeData[[#This Row],[Intents]],[1]!Table2[#Data],7,FALSE),"")</f>
        <v>61</v>
      </c>
      <c r="Q59" s="2" t="str">
        <f>CHOOSE(BikeData[[#This Row],[Season]],"Spring","Summer","Fall","Winter")</f>
        <v>Spring</v>
      </c>
      <c r="R59" s="2" t="str">
        <f>CHOOSE(BikeData[[#This Row],[Weathersituation]],"Clear","Mist","Light Rain","Heavy Rain")</f>
        <v>Clear</v>
      </c>
      <c r="S59" s="2" t="str">
        <f>TEXT(BikeData[[#This Row],[Date]],"mmm")</f>
        <v>Jan</v>
      </c>
    </row>
    <row r="60" spans="1:19" x14ac:dyDescent="0.3">
      <c r="A60">
        <v>59</v>
      </c>
      <c r="B60" s="5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 s="6">
        <f>BikeData[[#This Row],[Temperature]]</f>
        <v>0.24</v>
      </c>
      <c r="L60">
        <f>IFERROR(VLOOKUP(BikeData[[#This Row],[Intents]],[1]!Table2[#Data],3,FALSE),"")</f>
        <v>0.35</v>
      </c>
      <c r="M60">
        <f>IFERROR(VLOOKUP(BikeData[[#This Row],[Intents]],[1]!Table2[#Data],4,FALSE),"")</f>
        <v>0.28360000000000002</v>
      </c>
      <c r="N60">
        <f>IFERROR(VLOOKUP(BikeData[[#This Row],[Intents]],[1]!Table2[#Data],5,FALSE),"")</f>
        <v>8</v>
      </c>
      <c r="O60">
        <f>IFERROR(VLOOKUP(BikeData[[#This Row],[Intents]],[1]!Table2[#Data],6,FALSE),"")</f>
        <v>53</v>
      </c>
      <c r="P60">
        <f>IFERROR(VLOOKUP(BikeData[[#This Row],[Intents]],[1]!Table2[#Data],7,FALSE),"")</f>
        <v>61</v>
      </c>
      <c r="Q60" s="2" t="str">
        <f>CHOOSE(BikeData[[#This Row],[Season]],"Spring","Summer","Fall","Winter")</f>
        <v>Spring</v>
      </c>
      <c r="R60" s="2" t="str">
        <f>CHOOSE(BikeData[[#This Row],[Weathersituation]],"Clear","Mist","Light Rain","Heavy Rain")</f>
        <v>Clear</v>
      </c>
      <c r="S60" s="2" t="str">
        <f>TEXT(BikeData[[#This Row],[Date]],"mmm")</f>
        <v>Jan</v>
      </c>
    </row>
    <row r="61" spans="1:19" x14ac:dyDescent="0.3">
      <c r="A61">
        <v>60</v>
      </c>
      <c r="B61" s="5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 s="6">
        <f>BikeData[[#This Row],[Temperature]]</f>
        <v>0.26</v>
      </c>
      <c r="L61">
        <f>IFERROR(VLOOKUP(BikeData[[#This Row],[Intents]],[1]!Table2[#Data],3,FALSE),"")</f>
        <v>0.3</v>
      </c>
      <c r="M61">
        <f>IFERROR(VLOOKUP(BikeData[[#This Row],[Intents]],[1]!Table2[#Data],4,FALSE),"")</f>
        <v>0.28360000000000002</v>
      </c>
      <c r="N61">
        <f>IFERROR(VLOOKUP(BikeData[[#This Row],[Intents]],[1]!Table2[#Data],5,FALSE),"")</f>
        <v>11</v>
      </c>
      <c r="O61">
        <f>IFERROR(VLOOKUP(BikeData[[#This Row],[Intents]],[1]!Table2[#Data],6,FALSE),"")</f>
        <v>66</v>
      </c>
      <c r="P61">
        <f>IFERROR(VLOOKUP(BikeData[[#This Row],[Intents]],[1]!Table2[#Data],7,FALSE),"")</f>
        <v>77</v>
      </c>
      <c r="Q61" s="2" t="str">
        <f>CHOOSE(BikeData[[#This Row],[Season]],"Spring","Summer","Fall","Winter")</f>
        <v>Spring</v>
      </c>
      <c r="R61" s="2" t="str">
        <f>CHOOSE(BikeData[[#This Row],[Weathersituation]],"Clear","Mist","Light Rain","Heavy Rain")</f>
        <v>Clear</v>
      </c>
      <c r="S61" s="2" t="str">
        <f>TEXT(BikeData[[#This Row],[Date]],"mmm")</f>
        <v>Jan</v>
      </c>
    </row>
    <row r="62" spans="1:19" x14ac:dyDescent="0.3">
      <c r="A62">
        <v>61</v>
      </c>
      <c r="B62" s="5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 s="6">
        <f>BikeData[[#This Row],[Temperature]]</f>
        <v>0.26</v>
      </c>
      <c r="L62">
        <f>IFERROR(VLOOKUP(BikeData[[#This Row],[Intents]],[1]!Table2[#Data],3,FALSE),"")</f>
        <v>0.3</v>
      </c>
      <c r="M62">
        <f>IFERROR(VLOOKUP(BikeData[[#This Row],[Intents]],[1]!Table2[#Data],4,FALSE),"")</f>
        <v>0.25369999999999998</v>
      </c>
      <c r="N62">
        <f>IFERROR(VLOOKUP(BikeData[[#This Row],[Intents]],[1]!Table2[#Data],5,FALSE),"")</f>
        <v>14</v>
      </c>
      <c r="O62">
        <f>IFERROR(VLOOKUP(BikeData[[#This Row],[Intents]],[1]!Table2[#Data],6,FALSE),"")</f>
        <v>58</v>
      </c>
      <c r="P62">
        <f>IFERROR(VLOOKUP(BikeData[[#This Row],[Intents]],[1]!Table2[#Data],7,FALSE),"")</f>
        <v>72</v>
      </c>
      <c r="Q62" s="2" t="str">
        <f>CHOOSE(BikeData[[#This Row],[Season]],"Spring","Summer","Fall","Winter")</f>
        <v>Spring</v>
      </c>
      <c r="R62" s="2" t="str">
        <f>CHOOSE(BikeData[[#This Row],[Weathersituation]],"Clear","Mist","Light Rain","Heavy Rain")</f>
        <v>Clear</v>
      </c>
      <c r="S62" s="2" t="str">
        <f>TEXT(BikeData[[#This Row],[Date]],"mmm")</f>
        <v>Jan</v>
      </c>
    </row>
    <row r="63" spans="1:19" x14ac:dyDescent="0.3">
      <c r="A63">
        <v>62</v>
      </c>
      <c r="B63" s="5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 s="6">
        <f>BikeData[[#This Row],[Temperature]]</f>
        <v>0.26</v>
      </c>
      <c r="L63">
        <f>IFERROR(VLOOKUP(BikeData[[#This Row],[Intents]],[1]!Table2[#Data],3,FALSE),"")</f>
        <v>0.3</v>
      </c>
      <c r="M63">
        <f>IFERROR(VLOOKUP(BikeData[[#This Row],[Intents]],[1]!Table2[#Data],4,FALSE),"")</f>
        <v>0.25369999999999998</v>
      </c>
      <c r="N63">
        <f>IFERROR(VLOOKUP(BikeData[[#This Row],[Intents]],[1]!Table2[#Data],5,FALSE),"")</f>
        <v>9</v>
      </c>
      <c r="O63">
        <f>IFERROR(VLOOKUP(BikeData[[#This Row],[Intents]],[1]!Table2[#Data],6,FALSE),"")</f>
        <v>67</v>
      </c>
      <c r="P63">
        <f>IFERROR(VLOOKUP(BikeData[[#This Row],[Intents]],[1]!Table2[#Data],7,FALSE),"")</f>
        <v>76</v>
      </c>
      <c r="Q63" s="2" t="str">
        <f>CHOOSE(BikeData[[#This Row],[Season]],"Spring","Summer","Fall","Winter")</f>
        <v>Spring</v>
      </c>
      <c r="R63" s="2" t="str">
        <f>CHOOSE(BikeData[[#This Row],[Weathersituation]],"Clear","Mist","Light Rain","Heavy Rain")</f>
        <v>Clear</v>
      </c>
      <c r="S63" s="2" t="str">
        <f>TEXT(BikeData[[#This Row],[Date]],"mmm")</f>
        <v>Jan</v>
      </c>
    </row>
    <row r="64" spans="1:19" x14ac:dyDescent="0.3">
      <c r="A64">
        <v>63</v>
      </c>
      <c r="B64" s="5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 s="6">
        <f>BikeData[[#This Row],[Temperature]]</f>
        <v>0.24</v>
      </c>
      <c r="L64">
        <f>IFERROR(VLOOKUP(BikeData[[#This Row],[Intents]],[1]!Table2[#Data],3,FALSE),"")</f>
        <v>0.3</v>
      </c>
      <c r="M64">
        <f>IFERROR(VLOOKUP(BikeData[[#This Row],[Intents]],[1]!Table2[#Data],4,FALSE),"")</f>
        <v>0.22389999999999999</v>
      </c>
      <c r="N64">
        <f>IFERROR(VLOOKUP(BikeData[[#This Row],[Intents]],[1]!Table2[#Data],5,FALSE),"")</f>
        <v>11</v>
      </c>
      <c r="O64">
        <f>IFERROR(VLOOKUP(BikeData[[#This Row],[Intents]],[1]!Table2[#Data],6,FALSE),"")</f>
        <v>146</v>
      </c>
      <c r="P64">
        <f>IFERROR(VLOOKUP(BikeData[[#This Row],[Intents]],[1]!Table2[#Data],7,FALSE),"")</f>
        <v>157</v>
      </c>
      <c r="Q64" s="2" t="str">
        <f>CHOOSE(BikeData[[#This Row],[Season]],"Spring","Summer","Fall","Winter")</f>
        <v>Spring</v>
      </c>
      <c r="R64" s="2" t="str">
        <f>CHOOSE(BikeData[[#This Row],[Weathersituation]],"Clear","Mist","Light Rain","Heavy Rain")</f>
        <v>Clear</v>
      </c>
      <c r="S64" s="2" t="str">
        <f>TEXT(BikeData[[#This Row],[Date]],"mmm")</f>
        <v>Jan</v>
      </c>
    </row>
    <row r="65" spans="1:19" x14ac:dyDescent="0.3">
      <c r="A65">
        <v>64</v>
      </c>
      <c r="B65" s="5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 s="6">
        <f>BikeData[[#This Row],[Temperature]]</f>
        <v>0.24</v>
      </c>
      <c r="L65">
        <f>IFERROR(VLOOKUP(BikeData[[#This Row],[Intents]],[1]!Table2[#Data],3,FALSE),"")</f>
        <v>0.32</v>
      </c>
      <c r="M65">
        <f>IFERROR(VLOOKUP(BikeData[[#This Row],[Intents]],[1]!Table2[#Data],4,FALSE),"")</f>
        <v>0.1045</v>
      </c>
      <c r="N65">
        <f>IFERROR(VLOOKUP(BikeData[[#This Row],[Intents]],[1]!Table2[#Data],5,FALSE),"")</f>
        <v>9</v>
      </c>
      <c r="O65">
        <f>IFERROR(VLOOKUP(BikeData[[#This Row],[Intents]],[1]!Table2[#Data],6,FALSE),"")</f>
        <v>148</v>
      </c>
      <c r="P65">
        <f>IFERROR(VLOOKUP(BikeData[[#This Row],[Intents]],[1]!Table2[#Data],7,FALSE),"")</f>
        <v>157</v>
      </c>
      <c r="Q65" s="2" t="str">
        <f>CHOOSE(BikeData[[#This Row],[Season]],"Spring","Summer","Fall","Winter")</f>
        <v>Spring</v>
      </c>
      <c r="R65" s="2" t="str">
        <f>CHOOSE(BikeData[[#This Row],[Weathersituation]],"Clear","Mist","Light Rain","Heavy Rain")</f>
        <v>Clear</v>
      </c>
      <c r="S65" s="2" t="str">
        <f>TEXT(BikeData[[#This Row],[Date]],"mmm")</f>
        <v>Jan</v>
      </c>
    </row>
    <row r="66" spans="1:19" x14ac:dyDescent="0.3">
      <c r="A66">
        <v>65</v>
      </c>
      <c r="B66" s="5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 s="6">
        <f>BikeData[[#This Row],[Temperature]]</f>
        <v>0.2</v>
      </c>
      <c r="L66">
        <f>IFERROR(VLOOKUP(BikeData[[#This Row],[Intents]],[1]!Table2[#Data],3,FALSE),"")</f>
        <v>0.47</v>
      </c>
      <c r="M66">
        <f>IFERROR(VLOOKUP(BikeData[[#This Row],[Intents]],[1]!Table2[#Data],4,FALSE),"")</f>
        <v>0</v>
      </c>
      <c r="N66">
        <f>IFERROR(VLOOKUP(BikeData[[#This Row],[Intents]],[1]!Table2[#Data],5,FALSE),"")</f>
        <v>8</v>
      </c>
      <c r="O66">
        <f>IFERROR(VLOOKUP(BikeData[[#This Row],[Intents]],[1]!Table2[#Data],6,FALSE),"")</f>
        <v>102</v>
      </c>
      <c r="P66">
        <f>IFERROR(VLOOKUP(BikeData[[#This Row],[Intents]],[1]!Table2[#Data],7,FALSE),"")</f>
        <v>110</v>
      </c>
      <c r="Q66" s="2" t="str">
        <f>CHOOSE(BikeData[[#This Row],[Season]],"Spring","Summer","Fall","Winter")</f>
        <v>Spring</v>
      </c>
      <c r="R66" s="2" t="str">
        <f>CHOOSE(BikeData[[#This Row],[Weathersituation]],"Clear","Mist","Light Rain","Heavy Rain")</f>
        <v>Clear</v>
      </c>
      <c r="S66" s="2" t="str">
        <f>TEXT(BikeData[[#This Row],[Date]],"mmm")</f>
        <v>Jan</v>
      </c>
    </row>
    <row r="67" spans="1:19" x14ac:dyDescent="0.3">
      <c r="A67">
        <v>66</v>
      </c>
      <c r="B67" s="5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 s="6">
        <f>BikeData[[#This Row],[Temperature]]</f>
        <v>0.2</v>
      </c>
      <c r="L67">
        <f>IFERROR(VLOOKUP(BikeData[[#This Row],[Intents]],[1]!Table2[#Data],3,FALSE),"")</f>
        <v>0.47</v>
      </c>
      <c r="M67">
        <f>IFERROR(VLOOKUP(BikeData[[#This Row],[Intents]],[1]!Table2[#Data],4,FALSE),"")</f>
        <v>0.1045</v>
      </c>
      <c r="N67">
        <f>IFERROR(VLOOKUP(BikeData[[#This Row],[Intents]],[1]!Table2[#Data],5,FALSE),"")</f>
        <v>3</v>
      </c>
      <c r="O67">
        <f>IFERROR(VLOOKUP(BikeData[[#This Row],[Intents]],[1]!Table2[#Data],6,FALSE),"")</f>
        <v>49</v>
      </c>
      <c r="P67">
        <f>IFERROR(VLOOKUP(BikeData[[#This Row],[Intents]],[1]!Table2[#Data],7,FALSE),"")</f>
        <v>52</v>
      </c>
      <c r="Q67" s="2" t="str">
        <f>CHOOSE(BikeData[[#This Row],[Season]],"Spring","Summer","Fall","Winter")</f>
        <v>Spring</v>
      </c>
      <c r="R67" s="2" t="str">
        <f>CHOOSE(BikeData[[#This Row],[Weathersituation]],"Clear","Mist","Light Rain","Heavy Rain")</f>
        <v>Clear</v>
      </c>
      <c r="S67" s="2" t="str">
        <f>TEXT(BikeData[[#This Row],[Date]],"mmm")</f>
        <v>Jan</v>
      </c>
    </row>
    <row r="68" spans="1:19" x14ac:dyDescent="0.3">
      <c r="A68">
        <v>67</v>
      </c>
      <c r="B68" s="5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 s="6">
        <f>BikeData[[#This Row],[Temperature]]</f>
        <v>0.18</v>
      </c>
      <c r="L68">
        <f>IFERROR(VLOOKUP(BikeData[[#This Row],[Intents]],[1]!Table2[#Data],3,FALSE),"")</f>
        <v>0.64</v>
      </c>
      <c r="M68">
        <f>IFERROR(VLOOKUP(BikeData[[#This Row],[Intents]],[1]!Table2[#Data],4,FALSE),"")</f>
        <v>0.1343</v>
      </c>
      <c r="N68">
        <f>IFERROR(VLOOKUP(BikeData[[#This Row],[Intents]],[1]!Table2[#Data],5,FALSE),"")</f>
        <v>3</v>
      </c>
      <c r="O68">
        <f>IFERROR(VLOOKUP(BikeData[[#This Row],[Intents]],[1]!Table2[#Data],6,FALSE),"")</f>
        <v>49</v>
      </c>
      <c r="P68">
        <f>IFERROR(VLOOKUP(BikeData[[#This Row],[Intents]],[1]!Table2[#Data],7,FALSE),"")</f>
        <v>52</v>
      </c>
      <c r="Q68" s="2" t="str">
        <f>CHOOSE(BikeData[[#This Row],[Season]],"Spring","Summer","Fall","Winter")</f>
        <v>Spring</v>
      </c>
      <c r="R68" s="2" t="str">
        <f>CHOOSE(BikeData[[#This Row],[Weathersituation]],"Clear","Mist","Light Rain","Heavy Rain")</f>
        <v>Clear</v>
      </c>
      <c r="S68" s="2" t="str">
        <f>TEXT(BikeData[[#This Row],[Date]],"mmm")</f>
        <v>Jan</v>
      </c>
    </row>
    <row r="69" spans="1:19" x14ac:dyDescent="0.3">
      <c r="A69">
        <v>68</v>
      </c>
      <c r="B69" s="5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 s="6">
        <f>BikeData[[#This Row],[Temperature]]</f>
        <v>0.14000000000000001</v>
      </c>
      <c r="L69">
        <f>IFERROR(VLOOKUP(BikeData[[#This Row],[Intents]],[1]!Table2[#Data],3,FALSE),"")</f>
        <v>0.69</v>
      </c>
      <c r="M69">
        <f>IFERROR(VLOOKUP(BikeData[[#This Row],[Intents]],[1]!Table2[#Data],4,FALSE),"")</f>
        <v>0.1343</v>
      </c>
      <c r="N69">
        <f>IFERROR(VLOOKUP(BikeData[[#This Row],[Intents]],[1]!Table2[#Data],5,FALSE),"")</f>
        <v>0</v>
      </c>
      <c r="O69">
        <f>IFERROR(VLOOKUP(BikeData[[#This Row],[Intents]],[1]!Table2[#Data],6,FALSE),"")</f>
        <v>20</v>
      </c>
      <c r="P69">
        <f>IFERROR(VLOOKUP(BikeData[[#This Row],[Intents]],[1]!Table2[#Data],7,FALSE),"")</f>
        <v>20</v>
      </c>
      <c r="Q69" s="2" t="str">
        <f>CHOOSE(BikeData[[#This Row],[Season]],"Spring","Summer","Fall","Winter")</f>
        <v>Spring</v>
      </c>
      <c r="R69" s="2" t="str">
        <f>CHOOSE(BikeData[[#This Row],[Weathersituation]],"Clear","Mist","Light Rain","Heavy Rain")</f>
        <v>Clear</v>
      </c>
      <c r="S69" s="2" t="str">
        <f>TEXT(BikeData[[#This Row],[Date]],"mmm")</f>
        <v>Jan</v>
      </c>
    </row>
    <row r="70" spans="1:19" x14ac:dyDescent="0.3">
      <c r="A70">
        <v>69</v>
      </c>
      <c r="B70" s="5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 s="6">
        <f>BikeData[[#This Row],[Temperature]]</f>
        <v>0.18</v>
      </c>
      <c r="L70">
        <f>IFERROR(VLOOKUP(BikeData[[#This Row],[Intents]],[1]!Table2[#Data],3,FALSE),"")</f>
        <v>0.55000000000000004</v>
      </c>
      <c r="M70">
        <f>IFERROR(VLOOKUP(BikeData[[#This Row],[Intents]],[1]!Table2[#Data],4,FALSE),"")</f>
        <v>0.1045</v>
      </c>
      <c r="N70">
        <f>IFERROR(VLOOKUP(BikeData[[#This Row],[Intents]],[1]!Table2[#Data],5,FALSE),"")</f>
        <v>1</v>
      </c>
      <c r="O70">
        <f>IFERROR(VLOOKUP(BikeData[[#This Row],[Intents]],[1]!Table2[#Data],6,FALSE),"")</f>
        <v>11</v>
      </c>
      <c r="P70">
        <f>IFERROR(VLOOKUP(BikeData[[#This Row],[Intents]],[1]!Table2[#Data],7,FALSE),"")</f>
        <v>12</v>
      </c>
      <c r="Q70" s="2" t="str">
        <f>CHOOSE(BikeData[[#This Row],[Season]],"Spring","Summer","Fall","Winter")</f>
        <v>Spring</v>
      </c>
      <c r="R70" s="2" t="str">
        <f>CHOOSE(BikeData[[#This Row],[Weathersituation]],"Clear","Mist","Light Rain","Heavy Rain")</f>
        <v>Clear</v>
      </c>
      <c r="S70" s="2" t="str">
        <f>TEXT(BikeData[[#This Row],[Date]],"mmm")</f>
        <v>Jan</v>
      </c>
    </row>
    <row r="71" spans="1:19" x14ac:dyDescent="0.3">
      <c r="A71">
        <v>70</v>
      </c>
      <c r="B71" s="5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 s="6">
        <f>BikeData[[#This Row],[Temperature]]</f>
        <v>0.16</v>
      </c>
      <c r="L71">
        <f>IFERROR(VLOOKUP(BikeData[[#This Row],[Intents]],[1]!Table2[#Data],3,FALSE),"")</f>
        <v>0.55000000000000004</v>
      </c>
      <c r="M71">
        <f>IFERROR(VLOOKUP(BikeData[[#This Row],[Intents]],[1]!Table2[#Data],4,FALSE),"")</f>
        <v>0.1045</v>
      </c>
      <c r="N71">
        <f>IFERROR(VLOOKUP(BikeData[[#This Row],[Intents]],[1]!Table2[#Data],5,FALSE),"")</f>
        <v>0</v>
      </c>
      <c r="O71">
        <f>IFERROR(VLOOKUP(BikeData[[#This Row],[Intents]],[1]!Table2[#Data],6,FALSE),"")</f>
        <v>5</v>
      </c>
      <c r="P71">
        <f>IFERROR(VLOOKUP(BikeData[[#This Row],[Intents]],[1]!Table2[#Data],7,FALSE),"")</f>
        <v>5</v>
      </c>
      <c r="Q71" s="2" t="str">
        <f>CHOOSE(BikeData[[#This Row],[Season]],"Spring","Summer","Fall","Winter")</f>
        <v>Spring</v>
      </c>
      <c r="R71" s="2" t="str">
        <f>CHOOSE(BikeData[[#This Row],[Weathersituation]],"Clear","Mist","Light Rain","Heavy Rain")</f>
        <v>Clear</v>
      </c>
      <c r="S71" s="2" t="str">
        <f>TEXT(BikeData[[#This Row],[Date]],"mmm")</f>
        <v>Jan</v>
      </c>
    </row>
    <row r="72" spans="1:19" x14ac:dyDescent="0.3">
      <c r="A72">
        <v>71</v>
      </c>
      <c r="B72" s="5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 s="6">
        <f>BikeData[[#This Row],[Temperature]]</f>
        <v>0.16</v>
      </c>
      <c r="L72">
        <f>IFERROR(VLOOKUP(BikeData[[#This Row],[Intents]],[1]!Table2[#Data],3,FALSE),"")</f>
        <v>0.59</v>
      </c>
      <c r="M72">
        <f>IFERROR(VLOOKUP(BikeData[[#This Row],[Intents]],[1]!Table2[#Data],4,FALSE),"")</f>
        <v>0.1045</v>
      </c>
      <c r="N72">
        <f>IFERROR(VLOOKUP(BikeData[[#This Row],[Intents]],[1]!Table2[#Data],5,FALSE),"")</f>
        <v>0</v>
      </c>
      <c r="O72">
        <f>IFERROR(VLOOKUP(BikeData[[#This Row],[Intents]],[1]!Table2[#Data],6,FALSE),"")</f>
        <v>2</v>
      </c>
      <c r="P72">
        <f>IFERROR(VLOOKUP(BikeData[[#This Row],[Intents]],[1]!Table2[#Data],7,FALSE),"")</f>
        <v>2</v>
      </c>
      <c r="Q72" s="2" t="str">
        <f>CHOOSE(BikeData[[#This Row],[Season]],"Spring","Summer","Fall","Winter")</f>
        <v>Spring</v>
      </c>
      <c r="R72" s="2" t="str">
        <f>CHOOSE(BikeData[[#This Row],[Weathersituation]],"Clear","Mist","Light Rain","Heavy Rain")</f>
        <v>Clear</v>
      </c>
      <c r="S72" s="2" t="str">
        <f>TEXT(BikeData[[#This Row],[Date]],"mmm")</f>
        <v>Jan</v>
      </c>
    </row>
    <row r="73" spans="1:19" x14ac:dyDescent="0.3">
      <c r="A73">
        <v>72</v>
      </c>
      <c r="B73" s="5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 s="6">
        <f>BikeData[[#This Row],[Temperature]]</f>
        <v>0.14000000000000001</v>
      </c>
      <c r="L73">
        <f>IFERROR(VLOOKUP(BikeData[[#This Row],[Intents]],[1]!Table2[#Data],3,FALSE),"")</f>
        <v>0.63</v>
      </c>
      <c r="M73">
        <f>IFERROR(VLOOKUP(BikeData[[#This Row],[Intents]],[1]!Table2[#Data],4,FALSE),"")</f>
        <v>0.1343</v>
      </c>
      <c r="N73">
        <f>IFERROR(VLOOKUP(BikeData[[#This Row],[Intents]],[1]!Table2[#Data],5,FALSE),"")</f>
        <v>0</v>
      </c>
      <c r="O73">
        <f>IFERROR(VLOOKUP(BikeData[[#This Row],[Intents]],[1]!Table2[#Data],6,FALSE),"")</f>
        <v>1</v>
      </c>
      <c r="P73">
        <f>IFERROR(VLOOKUP(BikeData[[#This Row],[Intents]],[1]!Table2[#Data],7,FALSE),"")</f>
        <v>1</v>
      </c>
      <c r="Q73" s="2" t="str">
        <f>CHOOSE(BikeData[[#This Row],[Season]],"Spring","Summer","Fall","Winter")</f>
        <v>Spring</v>
      </c>
      <c r="R73" s="2" t="str">
        <f>CHOOSE(BikeData[[#This Row],[Weathersituation]],"Clear","Mist","Light Rain","Heavy Rain")</f>
        <v>Clear</v>
      </c>
      <c r="S73" s="2" t="str">
        <f>TEXT(BikeData[[#This Row],[Date]],"mmm")</f>
        <v>Jan</v>
      </c>
    </row>
    <row r="74" spans="1:19" x14ac:dyDescent="0.3">
      <c r="A74">
        <v>73</v>
      </c>
      <c r="B74" s="5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 s="6">
        <f>BikeData[[#This Row],[Temperature]]</f>
        <v>0.14000000000000001</v>
      </c>
      <c r="L74">
        <f>IFERROR(VLOOKUP(BikeData[[#This Row],[Intents]],[1]!Table2[#Data],3,FALSE),"")</f>
        <v>0.63</v>
      </c>
      <c r="M74">
        <f>IFERROR(VLOOKUP(BikeData[[#This Row],[Intents]],[1]!Table2[#Data],4,FALSE),"")</f>
        <v>8.9599999999999999E-2</v>
      </c>
      <c r="N74">
        <f>IFERROR(VLOOKUP(BikeData[[#This Row],[Intents]],[1]!Table2[#Data],5,FALSE),"")</f>
        <v>0</v>
      </c>
      <c r="O74">
        <f>IFERROR(VLOOKUP(BikeData[[#This Row],[Intents]],[1]!Table2[#Data],6,FALSE),"")</f>
        <v>2</v>
      </c>
      <c r="P74">
        <f>IFERROR(VLOOKUP(BikeData[[#This Row],[Intents]],[1]!Table2[#Data],7,FALSE),"")</f>
        <v>2</v>
      </c>
      <c r="Q74" s="2" t="str">
        <f>CHOOSE(BikeData[[#This Row],[Season]],"Spring","Summer","Fall","Winter")</f>
        <v>Spring</v>
      </c>
      <c r="R74" s="2" t="str">
        <f>CHOOSE(BikeData[[#This Row],[Weathersituation]],"Clear","Mist","Light Rain","Heavy Rain")</f>
        <v>Clear</v>
      </c>
      <c r="S74" s="2" t="str">
        <f>TEXT(BikeData[[#This Row],[Date]],"mmm")</f>
        <v>Jan</v>
      </c>
    </row>
    <row r="75" spans="1:19" x14ac:dyDescent="0.3">
      <c r="A75">
        <v>74</v>
      </c>
      <c r="B75" s="5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 s="6">
        <f>BikeData[[#This Row],[Temperature]]</f>
        <v>0.12</v>
      </c>
      <c r="L75">
        <f>IFERROR(VLOOKUP(BikeData[[#This Row],[Intents]],[1]!Table2[#Data],3,FALSE),"")</f>
        <v>0.68</v>
      </c>
      <c r="M75">
        <f>IFERROR(VLOOKUP(BikeData[[#This Row],[Intents]],[1]!Table2[#Data],4,FALSE),"")</f>
        <v>0.1045</v>
      </c>
      <c r="N75">
        <f>IFERROR(VLOOKUP(BikeData[[#This Row],[Intents]],[1]!Table2[#Data],5,FALSE),"")</f>
        <v>0</v>
      </c>
      <c r="O75">
        <f>IFERROR(VLOOKUP(BikeData[[#This Row],[Intents]],[1]!Table2[#Data],6,FALSE),"")</f>
        <v>4</v>
      </c>
      <c r="P75">
        <f>IFERROR(VLOOKUP(BikeData[[#This Row],[Intents]],[1]!Table2[#Data],7,FALSE),"")</f>
        <v>4</v>
      </c>
      <c r="Q75" s="2" t="str">
        <f>CHOOSE(BikeData[[#This Row],[Season]],"Spring","Summer","Fall","Winter")</f>
        <v>Spring</v>
      </c>
      <c r="R75" s="2" t="str">
        <f>CHOOSE(BikeData[[#This Row],[Weathersituation]],"Clear","Mist","Light Rain","Heavy Rain")</f>
        <v>Clear</v>
      </c>
      <c r="S75" s="2" t="str">
        <f>TEXT(BikeData[[#This Row],[Date]],"mmm")</f>
        <v>Jan</v>
      </c>
    </row>
    <row r="76" spans="1:19" x14ac:dyDescent="0.3">
      <c r="A76">
        <v>75</v>
      </c>
      <c r="B76" s="5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 s="6">
        <f>BikeData[[#This Row],[Temperature]]</f>
        <v>0.12</v>
      </c>
      <c r="L76">
        <f>IFERROR(VLOOKUP(BikeData[[#This Row],[Intents]],[1]!Table2[#Data],3,FALSE),"")</f>
        <v>0.74</v>
      </c>
      <c r="M76">
        <f>IFERROR(VLOOKUP(BikeData[[#This Row],[Intents]],[1]!Table2[#Data],4,FALSE),"")</f>
        <v>0.1045</v>
      </c>
      <c r="N76">
        <f>IFERROR(VLOOKUP(BikeData[[#This Row],[Intents]],[1]!Table2[#Data],5,FALSE),"")</f>
        <v>0</v>
      </c>
      <c r="O76">
        <f>IFERROR(VLOOKUP(BikeData[[#This Row],[Intents]],[1]!Table2[#Data],6,FALSE),"")</f>
        <v>36</v>
      </c>
      <c r="P76">
        <f>IFERROR(VLOOKUP(BikeData[[#This Row],[Intents]],[1]!Table2[#Data],7,FALSE),"")</f>
        <v>36</v>
      </c>
      <c r="Q76" s="2" t="str">
        <f>CHOOSE(BikeData[[#This Row],[Season]],"Spring","Summer","Fall","Winter")</f>
        <v>Spring</v>
      </c>
      <c r="R76" s="2" t="str">
        <f>CHOOSE(BikeData[[#This Row],[Weathersituation]],"Clear","Mist","Light Rain","Heavy Rain")</f>
        <v>Clear</v>
      </c>
      <c r="S76" s="2" t="str">
        <f>TEXT(BikeData[[#This Row],[Date]],"mmm")</f>
        <v>Jan</v>
      </c>
    </row>
    <row r="77" spans="1:19" x14ac:dyDescent="0.3">
      <c r="A77">
        <v>76</v>
      </c>
      <c r="B77" s="5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 s="6">
        <f>BikeData[[#This Row],[Temperature]]</f>
        <v>0.12</v>
      </c>
      <c r="L77">
        <f>IFERROR(VLOOKUP(BikeData[[#This Row],[Intents]],[1]!Table2[#Data],3,FALSE),"")</f>
        <v>0.74</v>
      </c>
      <c r="M77">
        <f>IFERROR(VLOOKUP(BikeData[[#This Row],[Intents]],[1]!Table2[#Data],4,FALSE),"")</f>
        <v>0.1343</v>
      </c>
      <c r="N77">
        <f>IFERROR(VLOOKUP(BikeData[[#This Row],[Intents]],[1]!Table2[#Data],5,FALSE),"")</f>
        <v>2</v>
      </c>
      <c r="O77">
        <f>IFERROR(VLOOKUP(BikeData[[#This Row],[Intents]],[1]!Table2[#Data],6,FALSE),"")</f>
        <v>92</v>
      </c>
      <c r="P77">
        <f>IFERROR(VLOOKUP(BikeData[[#This Row],[Intents]],[1]!Table2[#Data],7,FALSE),"")</f>
        <v>94</v>
      </c>
      <c r="Q77" s="2" t="str">
        <f>CHOOSE(BikeData[[#This Row],[Season]],"Spring","Summer","Fall","Winter")</f>
        <v>Spring</v>
      </c>
      <c r="R77" s="2" t="str">
        <f>CHOOSE(BikeData[[#This Row],[Weathersituation]],"Clear","Mist","Light Rain","Heavy Rain")</f>
        <v>Clear</v>
      </c>
      <c r="S77" s="2" t="str">
        <f>TEXT(BikeData[[#This Row],[Date]],"mmm")</f>
        <v>Jan</v>
      </c>
    </row>
    <row r="78" spans="1:19" x14ac:dyDescent="0.3">
      <c r="A78">
        <v>77</v>
      </c>
      <c r="B78" s="5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 s="6">
        <f>BikeData[[#This Row],[Temperature]]</f>
        <v>0.14000000000000001</v>
      </c>
      <c r="L78">
        <f>IFERROR(VLOOKUP(BikeData[[#This Row],[Intents]],[1]!Table2[#Data],3,FALSE),"")</f>
        <v>0.69</v>
      </c>
      <c r="M78">
        <f>IFERROR(VLOOKUP(BikeData[[#This Row],[Intents]],[1]!Table2[#Data],4,FALSE),"")</f>
        <v>0.16420000000000001</v>
      </c>
      <c r="N78">
        <f>IFERROR(VLOOKUP(BikeData[[#This Row],[Intents]],[1]!Table2[#Data],5,FALSE),"")</f>
        <v>2</v>
      </c>
      <c r="O78">
        <f>IFERROR(VLOOKUP(BikeData[[#This Row],[Intents]],[1]!Table2[#Data],6,FALSE),"")</f>
        <v>177</v>
      </c>
      <c r="P78">
        <f>IFERROR(VLOOKUP(BikeData[[#This Row],[Intents]],[1]!Table2[#Data],7,FALSE),"")</f>
        <v>179</v>
      </c>
      <c r="Q78" s="2" t="str">
        <f>CHOOSE(BikeData[[#This Row],[Season]],"Spring","Summer","Fall","Winter")</f>
        <v>Spring</v>
      </c>
      <c r="R78" s="2" t="str">
        <f>CHOOSE(BikeData[[#This Row],[Weathersituation]],"Clear","Mist","Light Rain","Heavy Rain")</f>
        <v>Clear</v>
      </c>
      <c r="S78" s="2" t="str">
        <f>TEXT(BikeData[[#This Row],[Date]],"mmm")</f>
        <v>Jan</v>
      </c>
    </row>
    <row r="79" spans="1:19" x14ac:dyDescent="0.3">
      <c r="A79">
        <v>78</v>
      </c>
      <c r="B79" s="5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 s="6">
        <f>BikeData[[#This Row],[Temperature]]</f>
        <v>0.16</v>
      </c>
      <c r="L79">
        <f>IFERROR(VLOOKUP(BikeData[[#This Row],[Intents]],[1]!Table2[#Data],3,FALSE),"")</f>
        <v>0.64</v>
      </c>
      <c r="M79">
        <f>IFERROR(VLOOKUP(BikeData[[#This Row],[Intents]],[1]!Table2[#Data],4,FALSE),"")</f>
        <v>0.22389999999999999</v>
      </c>
      <c r="N79">
        <f>IFERROR(VLOOKUP(BikeData[[#This Row],[Intents]],[1]!Table2[#Data],5,FALSE),"")</f>
        <v>2</v>
      </c>
      <c r="O79">
        <f>IFERROR(VLOOKUP(BikeData[[#This Row],[Intents]],[1]!Table2[#Data],6,FALSE),"")</f>
        <v>98</v>
      </c>
      <c r="P79">
        <f>IFERROR(VLOOKUP(BikeData[[#This Row],[Intents]],[1]!Table2[#Data],7,FALSE),"")</f>
        <v>100</v>
      </c>
      <c r="Q79" s="2" t="str">
        <f>CHOOSE(BikeData[[#This Row],[Season]],"Spring","Summer","Fall","Winter")</f>
        <v>Spring</v>
      </c>
      <c r="R79" s="2" t="str">
        <f>CHOOSE(BikeData[[#This Row],[Weathersituation]],"Clear","Mist","Light Rain","Heavy Rain")</f>
        <v>Clear</v>
      </c>
      <c r="S79" s="2" t="str">
        <f>TEXT(BikeData[[#This Row],[Date]],"mmm")</f>
        <v>Jan</v>
      </c>
    </row>
    <row r="80" spans="1:19" x14ac:dyDescent="0.3">
      <c r="A80">
        <v>79</v>
      </c>
      <c r="B80" s="5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 s="6">
        <f>BikeData[[#This Row],[Temperature]]</f>
        <v>0.16</v>
      </c>
      <c r="L80">
        <f>IFERROR(VLOOKUP(BikeData[[#This Row],[Intents]],[1]!Table2[#Data],3,FALSE),"")</f>
        <v>0.69</v>
      </c>
      <c r="M80">
        <f>IFERROR(VLOOKUP(BikeData[[#This Row],[Intents]],[1]!Table2[#Data],4,FALSE),"")</f>
        <v>0.32840000000000003</v>
      </c>
      <c r="N80">
        <f>IFERROR(VLOOKUP(BikeData[[#This Row],[Intents]],[1]!Table2[#Data],5,FALSE),"")</f>
        <v>5</v>
      </c>
      <c r="O80">
        <f>IFERROR(VLOOKUP(BikeData[[#This Row],[Intents]],[1]!Table2[#Data],6,FALSE),"")</f>
        <v>37</v>
      </c>
      <c r="P80">
        <f>IFERROR(VLOOKUP(BikeData[[#This Row],[Intents]],[1]!Table2[#Data],7,FALSE),"")</f>
        <v>42</v>
      </c>
      <c r="Q80" s="2" t="str">
        <f>CHOOSE(BikeData[[#This Row],[Season]],"Spring","Summer","Fall","Winter")</f>
        <v>Spring</v>
      </c>
      <c r="R80" s="2" t="str">
        <f>CHOOSE(BikeData[[#This Row],[Weathersituation]],"Clear","Mist","Light Rain","Heavy Rain")</f>
        <v>Mist</v>
      </c>
      <c r="S80" s="2" t="str">
        <f>TEXT(BikeData[[#This Row],[Date]],"mmm")</f>
        <v>Jan</v>
      </c>
    </row>
    <row r="81" spans="1:19" x14ac:dyDescent="0.3">
      <c r="A81">
        <v>80</v>
      </c>
      <c r="B81" s="5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 s="6">
        <f>BikeData[[#This Row],[Temperature]]</f>
        <v>0.22</v>
      </c>
      <c r="L81">
        <f>IFERROR(VLOOKUP(BikeData[[#This Row],[Intents]],[1]!Table2[#Data],3,FALSE),"")</f>
        <v>0.51</v>
      </c>
      <c r="M81">
        <f>IFERROR(VLOOKUP(BikeData[[#This Row],[Intents]],[1]!Table2[#Data],4,FALSE),"")</f>
        <v>0.29849999999999999</v>
      </c>
      <c r="N81">
        <f>IFERROR(VLOOKUP(BikeData[[#This Row],[Intents]],[1]!Table2[#Data],5,FALSE),"")</f>
        <v>7</v>
      </c>
      <c r="O81">
        <f>IFERROR(VLOOKUP(BikeData[[#This Row],[Intents]],[1]!Table2[#Data],6,FALSE),"")</f>
        <v>50</v>
      </c>
      <c r="P81">
        <f>IFERROR(VLOOKUP(BikeData[[#This Row],[Intents]],[1]!Table2[#Data],7,FALSE),"")</f>
        <v>57</v>
      </c>
      <c r="Q81" s="2" t="str">
        <f>CHOOSE(BikeData[[#This Row],[Season]],"Spring","Summer","Fall","Winter")</f>
        <v>Spring</v>
      </c>
      <c r="R81" s="2" t="str">
        <f>CHOOSE(BikeData[[#This Row],[Weathersituation]],"Clear","Mist","Light Rain","Heavy Rain")</f>
        <v>Clear</v>
      </c>
      <c r="S81" s="2" t="str">
        <f>TEXT(BikeData[[#This Row],[Date]],"mmm")</f>
        <v>Jan</v>
      </c>
    </row>
    <row r="82" spans="1:19" x14ac:dyDescent="0.3">
      <c r="A82">
        <v>81</v>
      </c>
      <c r="B82" s="5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 s="6">
        <f>BikeData[[#This Row],[Temperature]]</f>
        <v>0.22</v>
      </c>
      <c r="L82">
        <f>IFERROR(VLOOKUP(BikeData[[#This Row],[Intents]],[1]!Table2[#Data],3,FALSE),"")</f>
        <v>0.51</v>
      </c>
      <c r="M82">
        <f>IFERROR(VLOOKUP(BikeData[[#This Row],[Intents]],[1]!Table2[#Data],4,FALSE),"")</f>
        <v>0.16420000000000001</v>
      </c>
      <c r="N82">
        <f>IFERROR(VLOOKUP(BikeData[[#This Row],[Intents]],[1]!Table2[#Data],5,FALSE),"")</f>
        <v>12</v>
      </c>
      <c r="O82">
        <f>IFERROR(VLOOKUP(BikeData[[#This Row],[Intents]],[1]!Table2[#Data],6,FALSE),"")</f>
        <v>66</v>
      </c>
      <c r="P82">
        <f>IFERROR(VLOOKUP(BikeData[[#This Row],[Intents]],[1]!Table2[#Data],7,FALSE),"")</f>
        <v>78</v>
      </c>
      <c r="Q82" s="2" t="str">
        <f>CHOOSE(BikeData[[#This Row],[Season]],"Spring","Summer","Fall","Winter")</f>
        <v>Spring</v>
      </c>
      <c r="R82" s="2" t="str">
        <f>CHOOSE(BikeData[[#This Row],[Weathersituation]],"Clear","Mist","Light Rain","Heavy Rain")</f>
        <v>Clear</v>
      </c>
      <c r="S82" s="2" t="str">
        <f>TEXT(BikeData[[#This Row],[Date]],"mmm")</f>
        <v>Jan</v>
      </c>
    </row>
    <row r="83" spans="1:19" x14ac:dyDescent="0.3">
      <c r="A83">
        <v>82</v>
      </c>
      <c r="B83" s="5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 s="6">
        <f>BikeData[[#This Row],[Temperature]]</f>
        <v>0.24</v>
      </c>
      <c r="L83">
        <f>IFERROR(VLOOKUP(BikeData[[#This Row],[Intents]],[1]!Table2[#Data],3,FALSE),"")</f>
        <v>0.56000000000000005</v>
      </c>
      <c r="M83">
        <f>IFERROR(VLOOKUP(BikeData[[#This Row],[Intents]],[1]!Table2[#Data],4,FALSE),"")</f>
        <v>0.19400000000000001</v>
      </c>
      <c r="N83">
        <f>IFERROR(VLOOKUP(BikeData[[#This Row],[Intents]],[1]!Table2[#Data],5,FALSE),"")</f>
        <v>18</v>
      </c>
      <c r="O83">
        <f>IFERROR(VLOOKUP(BikeData[[#This Row],[Intents]],[1]!Table2[#Data],6,FALSE),"")</f>
        <v>79</v>
      </c>
      <c r="P83">
        <f>IFERROR(VLOOKUP(BikeData[[#This Row],[Intents]],[1]!Table2[#Data],7,FALSE),"")</f>
        <v>97</v>
      </c>
      <c r="Q83" s="2" t="str">
        <f>CHOOSE(BikeData[[#This Row],[Season]],"Spring","Summer","Fall","Winter")</f>
        <v>Spring</v>
      </c>
      <c r="R83" s="2" t="str">
        <f>CHOOSE(BikeData[[#This Row],[Weathersituation]],"Clear","Mist","Light Rain","Heavy Rain")</f>
        <v>Clear</v>
      </c>
      <c r="S83" s="2" t="str">
        <f>TEXT(BikeData[[#This Row],[Date]],"mmm")</f>
        <v>Jan</v>
      </c>
    </row>
    <row r="84" spans="1:19" x14ac:dyDescent="0.3">
      <c r="A84">
        <v>83</v>
      </c>
      <c r="B84" s="5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 s="6">
        <f>BikeData[[#This Row],[Temperature]]</f>
        <v>0.26</v>
      </c>
      <c r="L84">
        <f>IFERROR(VLOOKUP(BikeData[[#This Row],[Intents]],[1]!Table2[#Data],3,FALSE),"")</f>
        <v>0.52</v>
      </c>
      <c r="M84">
        <f>IFERROR(VLOOKUP(BikeData[[#This Row],[Intents]],[1]!Table2[#Data],4,FALSE),"")</f>
        <v>0.22389999999999999</v>
      </c>
      <c r="N84">
        <f>IFERROR(VLOOKUP(BikeData[[#This Row],[Intents]],[1]!Table2[#Data],5,FALSE),"")</f>
        <v>9</v>
      </c>
      <c r="O84">
        <f>IFERROR(VLOOKUP(BikeData[[#This Row],[Intents]],[1]!Table2[#Data],6,FALSE),"")</f>
        <v>54</v>
      </c>
      <c r="P84">
        <f>IFERROR(VLOOKUP(BikeData[[#This Row],[Intents]],[1]!Table2[#Data],7,FALSE),"")</f>
        <v>63</v>
      </c>
      <c r="Q84" s="2" t="str">
        <f>CHOOSE(BikeData[[#This Row],[Season]],"Spring","Summer","Fall","Winter")</f>
        <v>Spring</v>
      </c>
      <c r="R84" s="2" t="str">
        <f>CHOOSE(BikeData[[#This Row],[Weathersituation]],"Clear","Mist","Light Rain","Heavy Rain")</f>
        <v>Clear</v>
      </c>
      <c r="S84" s="2" t="str">
        <f>TEXT(BikeData[[#This Row],[Date]],"mmm")</f>
        <v>Jan</v>
      </c>
    </row>
    <row r="85" spans="1:19" x14ac:dyDescent="0.3">
      <c r="A85">
        <v>84</v>
      </c>
      <c r="B85" s="5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 s="6">
        <f>BikeData[[#This Row],[Temperature]]</f>
        <v>0.28000000000000003</v>
      </c>
      <c r="L85">
        <f>IFERROR(VLOOKUP(BikeData[[#This Row],[Intents]],[1]!Table2[#Data],3,FALSE),"")</f>
        <v>0.52</v>
      </c>
      <c r="M85">
        <f>IFERROR(VLOOKUP(BikeData[[#This Row],[Intents]],[1]!Table2[#Data],4,FALSE),"")</f>
        <v>0.25369999999999998</v>
      </c>
      <c r="N85">
        <f>IFERROR(VLOOKUP(BikeData[[#This Row],[Intents]],[1]!Table2[#Data],5,FALSE),"")</f>
        <v>17</v>
      </c>
      <c r="O85">
        <f>IFERROR(VLOOKUP(BikeData[[#This Row],[Intents]],[1]!Table2[#Data],6,FALSE),"")</f>
        <v>48</v>
      </c>
      <c r="P85">
        <f>IFERROR(VLOOKUP(BikeData[[#This Row],[Intents]],[1]!Table2[#Data],7,FALSE),"")</f>
        <v>65</v>
      </c>
      <c r="Q85" s="2" t="str">
        <f>CHOOSE(BikeData[[#This Row],[Season]],"Spring","Summer","Fall","Winter")</f>
        <v>Spring</v>
      </c>
      <c r="R85" s="2" t="str">
        <f>CHOOSE(BikeData[[#This Row],[Weathersituation]],"Clear","Mist","Light Rain","Heavy Rain")</f>
        <v>Clear</v>
      </c>
      <c r="S85" s="2" t="str">
        <f>TEXT(BikeData[[#This Row],[Date]],"mmm")</f>
        <v>Jan</v>
      </c>
    </row>
    <row r="86" spans="1:19" x14ac:dyDescent="0.3">
      <c r="A86">
        <v>85</v>
      </c>
      <c r="B86" s="5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 s="6">
        <f>BikeData[[#This Row],[Temperature]]</f>
        <v>0.3</v>
      </c>
      <c r="L86">
        <f>IFERROR(VLOOKUP(BikeData[[#This Row],[Intents]],[1]!Table2[#Data],3,FALSE),"")</f>
        <v>0.49</v>
      </c>
      <c r="M86">
        <f>IFERROR(VLOOKUP(BikeData[[#This Row],[Intents]],[1]!Table2[#Data],4,FALSE),"")</f>
        <v>0.25369999999999998</v>
      </c>
      <c r="N86">
        <f>IFERROR(VLOOKUP(BikeData[[#This Row],[Intents]],[1]!Table2[#Data],5,FALSE),"")</f>
        <v>15</v>
      </c>
      <c r="O86">
        <f>IFERROR(VLOOKUP(BikeData[[#This Row],[Intents]],[1]!Table2[#Data],6,FALSE),"")</f>
        <v>68</v>
      </c>
      <c r="P86">
        <f>IFERROR(VLOOKUP(BikeData[[#This Row],[Intents]],[1]!Table2[#Data],7,FALSE),"")</f>
        <v>83</v>
      </c>
      <c r="Q86" s="2" t="str">
        <f>CHOOSE(BikeData[[#This Row],[Season]],"Spring","Summer","Fall","Winter")</f>
        <v>Spring</v>
      </c>
      <c r="R86" s="2" t="str">
        <f>CHOOSE(BikeData[[#This Row],[Weathersituation]],"Clear","Mist","Light Rain","Heavy Rain")</f>
        <v>Clear</v>
      </c>
      <c r="S86" s="2" t="str">
        <f>TEXT(BikeData[[#This Row],[Date]],"mmm")</f>
        <v>Jan</v>
      </c>
    </row>
    <row r="87" spans="1:19" x14ac:dyDescent="0.3">
      <c r="A87">
        <v>86</v>
      </c>
      <c r="B87" s="5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 s="6">
        <f>BikeData[[#This Row],[Temperature]]</f>
        <v>0.28000000000000003</v>
      </c>
      <c r="L87">
        <f>IFERROR(VLOOKUP(BikeData[[#This Row],[Intents]],[1]!Table2[#Data],3,FALSE),"")</f>
        <v>0.48</v>
      </c>
      <c r="M87">
        <f>IFERROR(VLOOKUP(BikeData[[#This Row],[Intents]],[1]!Table2[#Data],4,FALSE),"")</f>
        <v>0.22389999999999999</v>
      </c>
      <c r="N87">
        <f>IFERROR(VLOOKUP(BikeData[[#This Row],[Intents]],[1]!Table2[#Data],5,FALSE),"")</f>
        <v>10</v>
      </c>
      <c r="O87">
        <f>IFERROR(VLOOKUP(BikeData[[#This Row],[Intents]],[1]!Table2[#Data],6,FALSE),"")</f>
        <v>202</v>
      </c>
      <c r="P87">
        <f>IFERROR(VLOOKUP(BikeData[[#This Row],[Intents]],[1]!Table2[#Data],7,FALSE),"")</f>
        <v>212</v>
      </c>
      <c r="Q87" s="2" t="str">
        <f>CHOOSE(BikeData[[#This Row],[Season]],"Spring","Summer","Fall","Winter")</f>
        <v>Spring</v>
      </c>
      <c r="R87" s="2" t="str">
        <f>CHOOSE(BikeData[[#This Row],[Weathersituation]],"Clear","Mist","Light Rain","Heavy Rain")</f>
        <v>Clear</v>
      </c>
      <c r="S87" s="2" t="str">
        <f>TEXT(BikeData[[#This Row],[Date]],"mmm")</f>
        <v>Jan</v>
      </c>
    </row>
    <row r="88" spans="1:19" x14ac:dyDescent="0.3">
      <c r="A88">
        <v>87</v>
      </c>
      <c r="B88" s="5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 s="6">
        <f>BikeData[[#This Row],[Temperature]]</f>
        <v>0.26</v>
      </c>
      <c r="L88">
        <f>IFERROR(VLOOKUP(BikeData[[#This Row],[Intents]],[1]!Table2[#Data],3,FALSE),"")</f>
        <v>0.48</v>
      </c>
      <c r="M88">
        <f>IFERROR(VLOOKUP(BikeData[[#This Row],[Intents]],[1]!Table2[#Data],4,FALSE),"")</f>
        <v>0.19400000000000001</v>
      </c>
      <c r="N88">
        <f>IFERROR(VLOOKUP(BikeData[[#This Row],[Intents]],[1]!Table2[#Data],5,FALSE),"")</f>
        <v>3</v>
      </c>
      <c r="O88">
        <f>IFERROR(VLOOKUP(BikeData[[#This Row],[Intents]],[1]!Table2[#Data],6,FALSE),"")</f>
        <v>179</v>
      </c>
      <c r="P88">
        <f>IFERROR(VLOOKUP(BikeData[[#This Row],[Intents]],[1]!Table2[#Data],7,FALSE),"")</f>
        <v>182</v>
      </c>
      <c r="Q88" s="2" t="str">
        <f>CHOOSE(BikeData[[#This Row],[Season]],"Spring","Summer","Fall","Winter")</f>
        <v>Spring</v>
      </c>
      <c r="R88" s="2" t="str">
        <f>CHOOSE(BikeData[[#This Row],[Weathersituation]],"Clear","Mist","Light Rain","Heavy Rain")</f>
        <v>Clear</v>
      </c>
      <c r="S88" s="2" t="str">
        <f>TEXT(BikeData[[#This Row],[Date]],"mmm")</f>
        <v>Jan</v>
      </c>
    </row>
    <row r="89" spans="1:19" x14ac:dyDescent="0.3">
      <c r="A89">
        <v>88</v>
      </c>
      <c r="B89" s="5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 s="6">
        <f>BikeData[[#This Row],[Temperature]]</f>
        <v>0.24</v>
      </c>
      <c r="L89">
        <f>IFERROR(VLOOKUP(BikeData[[#This Row],[Intents]],[1]!Table2[#Data],3,FALSE),"")</f>
        <v>0.48</v>
      </c>
      <c r="M89">
        <f>IFERROR(VLOOKUP(BikeData[[#This Row],[Intents]],[1]!Table2[#Data],4,FALSE),"")</f>
        <v>0.1045</v>
      </c>
      <c r="N89">
        <f>IFERROR(VLOOKUP(BikeData[[#This Row],[Intents]],[1]!Table2[#Data],5,FALSE),"")</f>
        <v>2</v>
      </c>
      <c r="O89">
        <f>IFERROR(VLOOKUP(BikeData[[#This Row],[Intents]],[1]!Table2[#Data],6,FALSE),"")</f>
        <v>110</v>
      </c>
      <c r="P89">
        <f>IFERROR(VLOOKUP(BikeData[[#This Row],[Intents]],[1]!Table2[#Data],7,FALSE),"")</f>
        <v>112</v>
      </c>
      <c r="Q89" s="2" t="str">
        <f>CHOOSE(BikeData[[#This Row],[Season]],"Spring","Summer","Fall","Winter")</f>
        <v>Spring</v>
      </c>
      <c r="R89" s="2" t="str">
        <f>CHOOSE(BikeData[[#This Row],[Weathersituation]],"Clear","Mist","Light Rain","Heavy Rain")</f>
        <v>Clear</v>
      </c>
      <c r="S89" s="2" t="str">
        <f>TEXT(BikeData[[#This Row],[Date]],"mmm")</f>
        <v>Jan</v>
      </c>
    </row>
    <row r="90" spans="1:19" x14ac:dyDescent="0.3">
      <c r="A90">
        <v>89</v>
      </c>
      <c r="B90" s="5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 s="6">
        <f>BikeData[[#This Row],[Temperature]]</f>
        <v>0.24</v>
      </c>
      <c r="L90">
        <f>IFERROR(VLOOKUP(BikeData[[#This Row],[Intents]],[1]!Table2[#Data],3,FALSE),"")</f>
        <v>0.48</v>
      </c>
      <c r="M90">
        <f>IFERROR(VLOOKUP(BikeData[[#This Row],[Intents]],[1]!Table2[#Data],4,FALSE),"")</f>
        <v>0.1045</v>
      </c>
      <c r="N90">
        <f>IFERROR(VLOOKUP(BikeData[[#This Row],[Intents]],[1]!Table2[#Data],5,FALSE),"")</f>
        <v>1</v>
      </c>
      <c r="O90">
        <f>IFERROR(VLOOKUP(BikeData[[#This Row],[Intents]],[1]!Table2[#Data],6,FALSE),"")</f>
        <v>53</v>
      </c>
      <c r="P90">
        <f>IFERROR(VLOOKUP(BikeData[[#This Row],[Intents]],[1]!Table2[#Data],7,FALSE),"")</f>
        <v>54</v>
      </c>
      <c r="Q90" s="2" t="str">
        <f>CHOOSE(BikeData[[#This Row],[Season]],"Spring","Summer","Fall","Winter")</f>
        <v>Spring</v>
      </c>
      <c r="R90" s="2" t="str">
        <f>CHOOSE(BikeData[[#This Row],[Weathersituation]],"Clear","Mist","Light Rain","Heavy Rain")</f>
        <v>Clear</v>
      </c>
      <c r="S90" s="2" t="str">
        <f>TEXT(BikeData[[#This Row],[Date]],"mmm")</f>
        <v>Jan</v>
      </c>
    </row>
    <row r="91" spans="1:19" x14ac:dyDescent="0.3">
      <c r="A91">
        <v>90</v>
      </c>
      <c r="B91" s="5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 s="6">
        <f>BikeData[[#This Row],[Temperature]]</f>
        <v>0.22</v>
      </c>
      <c r="L91">
        <f>IFERROR(VLOOKUP(BikeData[[#This Row],[Intents]],[1]!Table2[#Data],3,FALSE),"")</f>
        <v>0.64</v>
      </c>
      <c r="M91">
        <f>IFERROR(VLOOKUP(BikeData[[#This Row],[Intents]],[1]!Table2[#Data],4,FALSE),"")</f>
        <v>0</v>
      </c>
      <c r="N91">
        <f>IFERROR(VLOOKUP(BikeData[[#This Row],[Intents]],[1]!Table2[#Data],5,FALSE),"")</f>
        <v>0</v>
      </c>
      <c r="O91">
        <f>IFERROR(VLOOKUP(BikeData[[#This Row],[Intents]],[1]!Table2[#Data],6,FALSE),"")</f>
        <v>48</v>
      </c>
      <c r="P91">
        <f>IFERROR(VLOOKUP(BikeData[[#This Row],[Intents]],[1]!Table2[#Data],7,FALSE),"")</f>
        <v>48</v>
      </c>
      <c r="Q91" s="2" t="str">
        <f>CHOOSE(BikeData[[#This Row],[Season]],"Spring","Summer","Fall","Winter")</f>
        <v>Spring</v>
      </c>
      <c r="R91" s="2" t="str">
        <f>CHOOSE(BikeData[[#This Row],[Weathersituation]],"Clear","Mist","Light Rain","Heavy Rain")</f>
        <v>Clear</v>
      </c>
      <c r="S91" s="2" t="str">
        <f>TEXT(BikeData[[#This Row],[Date]],"mmm")</f>
        <v>Jan</v>
      </c>
    </row>
    <row r="92" spans="1:19" x14ac:dyDescent="0.3">
      <c r="A92">
        <v>91</v>
      </c>
      <c r="B92" s="5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 s="6">
        <f>BikeData[[#This Row],[Temperature]]</f>
        <v>0.22</v>
      </c>
      <c r="L92">
        <f>IFERROR(VLOOKUP(BikeData[[#This Row],[Intents]],[1]!Table2[#Data],3,FALSE),"")</f>
        <v>0.64</v>
      </c>
      <c r="M92">
        <f>IFERROR(VLOOKUP(BikeData[[#This Row],[Intents]],[1]!Table2[#Data],4,FALSE),"")</f>
        <v>8.9599999999999999E-2</v>
      </c>
      <c r="N92">
        <f>IFERROR(VLOOKUP(BikeData[[#This Row],[Intents]],[1]!Table2[#Data],5,FALSE),"")</f>
        <v>1</v>
      </c>
      <c r="O92">
        <f>IFERROR(VLOOKUP(BikeData[[#This Row],[Intents]],[1]!Table2[#Data],6,FALSE),"")</f>
        <v>34</v>
      </c>
      <c r="P92">
        <f>IFERROR(VLOOKUP(BikeData[[#This Row],[Intents]],[1]!Table2[#Data],7,FALSE),"")</f>
        <v>35</v>
      </c>
      <c r="Q92" s="2" t="str">
        <f>CHOOSE(BikeData[[#This Row],[Season]],"Spring","Summer","Fall","Winter")</f>
        <v>Spring</v>
      </c>
      <c r="R92" s="2" t="str">
        <f>CHOOSE(BikeData[[#This Row],[Weathersituation]],"Clear","Mist","Light Rain","Heavy Rain")</f>
        <v>Clear</v>
      </c>
      <c r="S92" s="2" t="str">
        <f>TEXT(BikeData[[#This Row],[Date]],"mmm")</f>
        <v>Jan</v>
      </c>
    </row>
    <row r="93" spans="1:19" x14ac:dyDescent="0.3">
      <c r="A93">
        <v>92</v>
      </c>
      <c r="B93" s="5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 s="6">
        <f>BikeData[[#This Row],[Temperature]]</f>
        <v>0.2</v>
      </c>
      <c r="L93">
        <f>IFERROR(VLOOKUP(BikeData[[#This Row],[Intents]],[1]!Table2[#Data],3,FALSE),"")</f>
        <v>0.69</v>
      </c>
      <c r="M93">
        <f>IFERROR(VLOOKUP(BikeData[[#This Row],[Intents]],[1]!Table2[#Data],4,FALSE),"")</f>
        <v>8.9599999999999999E-2</v>
      </c>
      <c r="N93">
        <f>IFERROR(VLOOKUP(BikeData[[#This Row],[Intents]],[1]!Table2[#Data],5,FALSE),"")</f>
        <v>2</v>
      </c>
      <c r="O93">
        <f>IFERROR(VLOOKUP(BikeData[[#This Row],[Intents]],[1]!Table2[#Data],6,FALSE),"")</f>
        <v>9</v>
      </c>
      <c r="P93">
        <f>IFERROR(VLOOKUP(BikeData[[#This Row],[Intents]],[1]!Table2[#Data],7,FALSE),"")</f>
        <v>11</v>
      </c>
      <c r="Q93" s="2" t="str">
        <f>CHOOSE(BikeData[[#This Row],[Season]],"Spring","Summer","Fall","Winter")</f>
        <v>Spring</v>
      </c>
      <c r="R93" s="2" t="str">
        <f>CHOOSE(BikeData[[#This Row],[Weathersituation]],"Clear","Mist","Light Rain","Heavy Rain")</f>
        <v>Clear</v>
      </c>
      <c r="S93" s="2" t="str">
        <f>TEXT(BikeData[[#This Row],[Date]],"mmm")</f>
        <v>Jan</v>
      </c>
    </row>
    <row r="94" spans="1:19" x14ac:dyDescent="0.3">
      <c r="A94">
        <v>93</v>
      </c>
      <c r="B94" s="5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 s="6">
        <f>BikeData[[#This Row],[Temperature]]</f>
        <v>0.2</v>
      </c>
      <c r="L94">
        <f>IFERROR(VLOOKUP(BikeData[[#This Row],[Intents]],[1]!Table2[#Data],3,FALSE),"")</f>
        <v>0.64</v>
      </c>
      <c r="M94">
        <f>IFERROR(VLOOKUP(BikeData[[#This Row],[Intents]],[1]!Table2[#Data],4,FALSE),"")</f>
        <v>0</v>
      </c>
      <c r="N94">
        <f>IFERROR(VLOOKUP(BikeData[[#This Row],[Intents]],[1]!Table2[#Data],5,FALSE),"")</f>
        <v>0</v>
      </c>
      <c r="O94">
        <f>IFERROR(VLOOKUP(BikeData[[#This Row],[Intents]],[1]!Table2[#Data],6,FALSE),"")</f>
        <v>6</v>
      </c>
      <c r="P94">
        <f>IFERROR(VLOOKUP(BikeData[[#This Row],[Intents]],[1]!Table2[#Data],7,FALSE),"")</f>
        <v>6</v>
      </c>
      <c r="Q94" s="2" t="str">
        <f>CHOOSE(BikeData[[#This Row],[Season]],"Spring","Summer","Fall","Winter")</f>
        <v>Spring</v>
      </c>
      <c r="R94" s="2" t="str">
        <f>CHOOSE(BikeData[[#This Row],[Weathersituation]],"Clear","Mist","Light Rain","Heavy Rain")</f>
        <v>Clear</v>
      </c>
      <c r="S94" s="2" t="str">
        <f>TEXT(BikeData[[#This Row],[Date]],"mmm")</f>
        <v>Jan</v>
      </c>
    </row>
    <row r="95" spans="1:19" x14ac:dyDescent="0.3">
      <c r="A95">
        <v>94</v>
      </c>
      <c r="B95" s="5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 s="6">
        <f>BikeData[[#This Row],[Temperature]]</f>
        <v>0.16</v>
      </c>
      <c r="L95">
        <f>IFERROR(VLOOKUP(BikeData[[#This Row],[Intents]],[1]!Table2[#Data],3,FALSE),"")</f>
        <v>0.74</v>
      </c>
      <c r="M95">
        <f>IFERROR(VLOOKUP(BikeData[[#This Row],[Intents]],[1]!Table2[#Data],4,FALSE),"")</f>
        <v>8.9599999999999999E-2</v>
      </c>
      <c r="N95">
        <f>IFERROR(VLOOKUP(BikeData[[#This Row],[Intents]],[1]!Table2[#Data],5,FALSE),"")</f>
        <v>0</v>
      </c>
      <c r="O95">
        <f>IFERROR(VLOOKUP(BikeData[[#This Row],[Intents]],[1]!Table2[#Data],6,FALSE),"")</f>
        <v>6</v>
      </c>
      <c r="P95">
        <f>IFERROR(VLOOKUP(BikeData[[#This Row],[Intents]],[1]!Table2[#Data],7,FALSE),"")</f>
        <v>6</v>
      </c>
      <c r="Q95" s="2" t="str">
        <f>CHOOSE(BikeData[[#This Row],[Season]],"Spring","Summer","Fall","Winter")</f>
        <v>Spring</v>
      </c>
      <c r="R95" s="2" t="str">
        <f>CHOOSE(BikeData[[#This Row],[Weathersituation]],"Clear","Mist","Light Rain","Heavy Rain")</f>
        <v>Clear</v>
      </c>
      <c r="S95" s="2" t="str">
        <f>TEXT(BikeData[[#This Row],[Date]],"mmm")</f>
        <v>Jan</v>
      </c>
    </row>
    <row r="96" spans="1:19" x14ac:dyDescent="0.3">
      <c r="A96">
        <v>95</v>
      </c>
      <c r="B96" s="5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 s="6">
        <f>BikeData[[#This Row],[Temperature]]</f>
        <v>0.16</v>
      </c>
      <c r="L96">
        <f>IFERROR(VLOOKUP(BikeData[[#This Row],[Intents]],[1]!Table2[#Data],3,FALSE),"")</f>
        <v>0.74</v>
      </c>
      <c r="M96">
        <f>IFERROR(VLOOKUP(BikeData[[#This Row],[Intents]],[1]!Table2[#Data],4,FALSE),"")</f>
        <v>8.9599999999999999E-2</v>
      </c>
      <c r="N96">
        <f>IFERROR(VLOOKUP(BikeData[[#This Row],[Intents]],[1]!Table2[#Data],5,FALSE),"")</f>
        <v>0</v>
      </c>
      <c r="O96">
        <f>IFERROR(VLOOKUP(BikeData[[#This Row],[Intents]],[1]!Table2[#Data],6,FALSE),"")</f>
        <v>2</v>
      </c>
      <c r="P96">
        <f>IFERROR(VLOOKUP(BikeData[[#This Row],[Intents]],[1]!Table2[#Data],7,FALSE),"")</f>
        <v>2</v>
      </c>
      <c r="Q96" s="2" t="str">
        <f>CHOOSE(BikeData[[#This Row],[Season]],"Spring","Summer","Fall","Winter")</f>
        <v>Spring</v>
      </c>
      <c r="R96" s="2" t="str">
        <f>CHOOSE(BikeData[[#This Row],[Weathersituation]],"Clear","Mist","Light Rain","Heavy Rain")</f>
        <v>Clear</v>
      </c>
      <c r="S96" s="2" t="str">
        <f>TEXT(BikeData[[#This Row],[Date]],"mmm")</f>
        <v>Jan</v>
      </c>
    </row>
    <row r="97" spans="1:19" x14ac:dyDescent="0.3">
      <c r="A97">
        <v>96</v>
      </c>
      <c r="B97" s="5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 s="6">
        <f>BikeData[[#This Row],[Temperature]]</f>
        <v>0.24</v>
      </c>
      <c r="L97">
        <f>IFERROR(VLOOKUP(BikeData[[#This Row],[Intents]],[1]!Table2[#Data],3,FALSE),"")</f>
        <v>0.48</v>
      </c>
      <c r="M97">
        <f>IFERROR(VLOOKUP(BikeData[[#This Row],[Intents]],[1]!Table2[#Data],4,FALSE),"")</f>
        <v>0.22389999999999999</v>
      </c>
      <c r="N97">
        <f>IFERROR(VLOOKUP(BikeData[[#This Row],[Intents]],[1]!Table2[#Data],5,FALSE),"")</f>
        <v>0</v>
      </c>
      <c r="O97">
        <f>IFERROR(VLOOKUP(BikeData[[#This Row],[Intents]],[1]!Table2[#Data],6,FALSE),"")</f>
        <v>2</v>
      </c>
      <c r="P97">
        <f>IFERROR(VLOOKUP(BikeData[[#This Row],[Intents]],[1]!Table2[#Data],7,FALSE),"")</f>
        <v>2</v>
      </c>
      <c r="Q97" s="2" t="str">
        <f>CHOOSE(BikeData[[#This Row],[Season]],"Spring","Summer","Fall","Winter")</f>
        <v>Spring</v>
      </c>
      <c r="R97" s="2" t="str">
        <f>CHOOSE(BikeData[[#This Row],[Weathersituation]],"Clear","Mist","Light Rain","Heavy Rain")</f>
        <v>Clear</v>
      </c>
      <c r="S97" s="2" t="str">
        <f>TEXT(BikeData[[#This Row],[Date]],"mmm")</f>
        <v>Jan</v>
      </c>
    </row>
    <row r="98" spans="1:19" x14ac:dyDescent="0.3">
      <c r="A98">
        <v>97</v>
      </c>
      <c r="B98" s="5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 s="6">
        <f>BikeData[[#This Row],[Temperature]]</f>
        <v>0.22</v>
      </c>
      <c r="L98">
        <f>IFERROR(VLOOKUP(BikeData[[#This Row],[Intents]],[1]!Table2[#Data],3,FALSE),"")</f>
        <v>0.47</v>
      </c>
      <c r="M98">
        <f>IFERROR(VLOOKUP(BikeData[[#This Row],[Intents]],[1]!Table2[#Data],4,FALSE),"")</f>
        <v>0.16420000000000001</v>
      </c>
      <c r="N98">
        <f>IFERROR(VLOOKUP(BikeData[[#This Row],[Intents]],[1]!Table2[#Data],5,FALSE),"")</f>
        <v>0</v>
      </c>
      <c r="O98">
        <f>IFERROR(VLOOKUP(BikeData[[#This Row],[Intents]],[1]!Table2[#Data],6,FALSE),"")</f>
        <v>3</v>
      </c>
      <c r="P98">
        <f>IFERROR(VLOOKUP(BikeData[[#This Row],[Intents]],[1]!Table2[#Data],7,FALSE),"")</f>
        <v>3</v>
      </c>
      <c r="Q98" s="2" t="str">
        <f>CHOOSE(BikeData[[#This Row],[Season]],"Spring","Summer","Fall","Winter")</f>
        <v>Spring</v>
      </c>
      <c r="R98" s="2" t="str">
        <f>CHOOSE(BikeData[[#This Row],[Weathersituation]],"Clear","Mist","Light Rain","Heavy Rain")</f>
        <v>Clear</v>
      </c>
      <c r="S98" s="2" t="str">
        <f>TEXT(BikeData[[#This Row],[Date]],"mmm")</f>
        <v>Jan</v>
      </c>
    </row>
    <row r="99" spans="1:19" x14ac:dyDescent="0.3">
      <c r="A99">
        <v>98</v>
      </c>
      <c r="B99" s="5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 s="6">
        <f>BikeData[[#This Row],[Temperature]]</f>
        <v>0.2</v>
      </c>
      <c r="L99">
        <f>IFERROR(VLOOKUP(BikeData[[#This Row],[Intents]],[1]!Table2[#Data],3,FALSE),"")</f>
        <v>0.47</v>
      </c>
      <c r="M99">
        <f>IFERROR(VLOOKUP(BikeData[[#This Row],[Intents]],[1]!Table2[#Data],4,FALSE),"")</f>
        <v>0.22389999999999999</v>
      </c>
      <c r="N99">
        <f>IFERROR(VLOOKUP(BikeData[[#This Row],[Intents]],[1]!Table2[#Data],5,FALSE),"")</f>
        <v>0</v>
      </c>
      <c r="O99">
        <f>IFERROR(VLOOKUP(BikeData[[#This Row],[Intents]],[1]!Table2[#Data],6,FALSE),"")</f>
        <v>33</v>
      </c>
      <c r="P99">
        <f>IFERROR(VLOOKUP(BikeData[[#This Row],[Intents]],[1]!Table2[#Data],7,FALSE),"")</f>
        <v>33</v>
      </c>
      <c r="Q99" s="2" t="str">
        <f>CHOOSE(BikeData[[#This Row],[Season]],"Spring","Summer","Fall","Winter")</f>
        <v>Spring</v>
      </c>
      <c r="R99" s="2" t="str">
        <f>CHOOSE(BikeData[[#This Row],[Weathersituation]],"Clear","Mist","Light Rain","Heavy Rain")</f>
        <v>Clear</v>
      </c>
      <c r="S99" s="2" t="str">
        <f>TEXT(BikeData[[#This Row],[Date]],"mmm")</f>
        <v>Jan</v>
      </c>
    </row>
    <row r="100" spans="1:19" x14ac:dyDescent="0.3">
      <c r="A100">
        <v>99</v>
      </c>
      <c r="B100" s="5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 s="6">
        <f>BikeData[[#This Row],[Temperature]]</f>
        <v>0.18</v>
      </c>
      <c r="L100">
        <f>IFERROR(VLOOKUP(BikeData[[#This Row],[Intents]],[1]!Table2[#Data],3,FALSE),"")</f>
        <v>0.43</v>
      </c>
      <c r="M100">
        <f>IFERROR(VLOOKUP(BikeData[[#This Row],[Intents]],[1]!Table2[#Data],4,FALSE),"")</f>
        <v>0.19400000000000001</v>
      </c>
      <c r="N100">
        <f>IFERROR(VLOOKUP(BikeData[[#This Row],[Intents]],[1]!Table2[#Data],5,FALSE),"")</f>
        <v>1</v>
      </c>
      <c r="O100">
        <f>IFERROR(VLOOKUP(BikeData[[#This Row],[Intents]],[1]!Table2[#Data],6,FALSE),"")</f>
        <v>87</v>
      </c>
      <c r="P100">
        <f>IFERROR(VLOOKUP(BikeData[[#This Row],[Intents]],[1]!Table2[#Data],7,FALSE),"")</f>
        <v>88</v>
      </c>
      <c r="Q100" s="2" t="str">
        <f>CHOOSE(BikeData[[#This Row],[Season]],"Spring","Summer","Fall","Winter")</f>
        <v>Spring</v>
      </c>
      <c r="R100" s="2" t="str">
        <f>CHOOSE(BikeData[[#This Row],[Weathersituation]],"Clear","Mist","Light Rain","Heavy Rain")</f>
        <v>Clear</v>
      </c>
      <c r="S100" s="2" t="str">
        <f>TEXT(BikeData[[#This Row],[Date]],"mmm")</f>
        <v>Jan</v>
      </c>
    </row>
    <row r="101" spans="1:19" x14ac:dyDescent="0.3">
      <c r="A101">
        <v>100</v>
      </c>
      <c r="B101" s="5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 s="6">
        <f>BikeData[[#This Row],[Temperature]]</f>
        <v>0.2</v>
      </c>
      <c r="L101">
        <f>IFERROR(VLOOKUP(BikeData[[#This Row],[Intents]],[1]!Table2[#Data],3,FALSE),"")</f>
        <v>0.4</v>
      </c>
      <c r="M101">
        <f>IFERROR(VLOOKUP(BikeData[[#This Row],[Intents]],[1]!Table2[#Data],4,FALSE),"")</f>
        <v>0.29849999999999999</v>
      </c>
      <c r="N101">
        <f>IFERROR(VLOOKUP(BikeData[[#This Row],[Intents]],[1]!Table2[#Data],5,FALSE),"")</f>
        <v>3</v>
      </c>
      <c r="O101">
        <f>IFERROR(VLOOKUP(BikeData[[#This Row],[Intents]],[1]!Table2[#Data],6,FALSE),"")</f>
        <v>192</v>
      </c>
      <c r="P101">
        <f>IFERROR(VLOOKUP(BikeData[[#This Row],[Intents]],[1]!Table2[#Data],7,FALSE),"")</f>
        <v>195</v>
      </c>
      <c r="Q101" s="2" t="str">
        <f>CHOOSE(BikeData[[#This Row],[Season]],"Spring","Summer","Fall","Winter")</f>
        <v>Spring</v>
      </c>
      <c r="R101" s="2" t="str">
        <f>CHOOSE(BikeData[[#This Row],[Weathersituation]],"Clear","Mist","Light Rain","Heavy Rain")</f>
        <v>Clear</v>
      </c>
      <c r="S101" s="2" t="str">
        <f>TEXT(BikeData[[#This Row],[Date]],"mmm")</f>
        <v>Jan</v>
      </c>
    </row>
    <row r="102" spans="1:19" x14ac:dyDescent="0.3">
      <c r="A102">
        <v>101</v>
      </c>
      <c r="B102" s="5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 s="6">
        <f>BikeData[[#This Row],[Temperature]]</f>
        <v>0.22</v>
      </c>
      <c r="L102">
        <f>IFERROR(VLOOKUP(BikeData[[#This Row],[Intents]],[1]!Table2[#Data],3,FALSE),"")</f>
        <v>0.37</v>
      </c>
      <c r="M102">
        <f>IFERROR(VLOOKUP(BikeData[[#This Row],[Intents]],[1]!Table2[#Data],4,FALSE),"")</f>
        <v>0.32840000000000003</v>
      </c>
      <c r="N102">
        <f>IFERROR(VLOOKUP(BikeData[[#This Row],[Intents]],[1]!Table2[#Data],5,FALSE),"")</f>
        <v>6</v>
      </c>
      <c r="O102">
        <f>IFERROR(VLOOKUP(BikeData[[#This Row],[Intents]],[1]!Table2[#Data],6,FALSE),"")</f>
        <v>109</v>
      </c>
      <c r="P102">
        <f>IFERROR(VLOOKUP(BikeData[[#This Row],[Intents]],[1]!Table2[#Data],7,FALSE),"")</f>
        <v>115</v>
      </c>
      <c r="Q102" s="2" t="str">
        <f>CHOOSE(BikeData[[#This Row],[Season]],"Spring","Summer","Fall","Winter")</f>
        <v>Spring</v>
      </c>
      <c r="R102" s="2" t="str">
        <f>CHOOSE(BikeData[[#This Row],[Weathersituation]],"Clear","Mist","Light Rain","Heavy Rain")</f>
        <v>Clear</v>
      </c>
      <c r="S102" s="2" t="str">
        <f>TEXT(BikeData[[#This Row],[Date]],"mmm")</f>
        <v>Jan</v>
      </c>
    </row>
    <row r="103" spans="1:19" x14ac:dyDescent="0.3">
      <c r="A103">
        <v>102</v>
      </c>
      <c r="B103" s="5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 s="6">
        <f>BikeData[[#This Row],[Temperature]]</f>
        <v>0.22</v>
      </c>
      <c r="L103">
        <f>IFERROR(VLOOKUP(BikeData[[#This Row],[Intents]],[1]!Table2[#Data],3,FALSE),"")</f>
        <v>0.37</v>
      </c>
      <c r="M103">
        <f>IFERROR(VLOOKUP(BikeData[[#This Row],[Intents]],[1]!Table2[#Data],4,FALSE),"")</f>
        <v>0.32840000000000003</v>
      </c>
      <c r="N103">
        <f>IFERROR(VLOOKUP(BikeData[[#This Row],[Intents]],[1]!Table2[#Data],5,FALSE),"")</f>
        <v>4</v>
      </c>
      <c r="O103">
        <f>IFERROR(VLOOKUP(BikeData[[#This Row],[Intents]],[1]!Table2[#Data],6,FALSE),"")</f>
        <v>53</v>
      </c>
      <c r="P103">
        <f>IFERROR(VLOOKUP(BikeData[[#This Row],[Intents]],[1]!Table2[#Data],7,FALSE),"")</f>
        <v>57</v>
      </c>
      <c r="Q103" s="2" t="str">
        <f>CHOOSE(BikeData[[#This Row],[Season]],"Spring","Summer","Fall","Winter")</f>
        <v>Spring</v>
      </c>
      <c r="R103" s="2" t="str">
        <f>CHOOSE(BikeData[[#This Row],[Weathersituation]],"Clear","Mist","Light Rain","Heavy Rain")</f>
        <v>Clear</v>
      </c>
      <c r="S103" s="2" t="str">
        <f>TEXT(BikeData[[#This Row],[Date]],"mmm")</f>
        <v>Jan</v>
      </c>
    </row>
    <row r="104" spans="1:19" x14ac:dyDescent="0.3">
      <c r="A104">
        <v>103</v>
      </c>
      <c r="B104" s="5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 s="6">
        <f>BikeData[[#This Row],[Temperature]]</f>
        <v>0.26</v>
      </c>
      <c r="L104">
        <f>IFERROR(VLOOKUP(BikeData[[#This Row],[Intents]],[1]!Table2[#Data],3,FALSE),"")</f>
        <v>0.33</v>
      </c>
      <c r="M104">
        <f>IFERROR(VLOOKUP(BikeData[[#This Row],[Intents]],[1]!Table2[#Data],4,FALSE),"")</f>
        <v>0.32840000000000003</v>
      </c>
      <c r="N104">
        <f>IFERROR(VLOOKUP(BikeData[[#This Row],[Intents]],[1]!Table2[#Data],5,FALSE),"")</f>
        <v>12</v>
      </c>
      <c r="O104">
        <f>IFERROR(VLOOKUP(BikeData[[#This Row],[Intents]],[1]!Table2[#Data],6,FALSE),"")</f>
        <v>34</v>
      </c>
      <c r="P104">
        <f>IFERROR(VLOOKUP(BikeData[[#This Row],[Intents]],[1]!Table2[#Data],7,FALSE),"")</f>
        <v>46</v>
      </c>
      <c r="Q104" s="2" t="str">
        <f>CHOOSE(BikeData[[#This Row],[Season]],"Spring","Summer","Fall","Winter")</f>
        <v>Spring</v>
      </c>
      <c r="R104" s="2" t="str">
        <f>CHOOSE(BikeData[[#This Row],[Weathersituation]],"Clear","Mist","Light Rain","Heavy Rain")</f>
        <v>Clear</v>
      </c>
      <c r="S104" s="2" t="str">
        <f>TEXT(BikeData[[#This Row],[Date]],"mmm")</f>
        <v>Jan</v>
      </c>
    </row>
    <row r="105" spans="1:19" x14ac:dyDescent="0.3">
      <c r="A105">
        <v>104</v>
      </c>
      <c r="B105" s="5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 s="6">
        <f>BikeData[[#This Row],[Temperature]]</f>
        <v>0.26</v>
      </c>
      <c r="L105">
        <f>IFERROR(VLOOKUP(BikeData[[#This Row],[Intents]],[1]!Table2[#Data],3,FALSE),"")</f>
        <v>0.33</v>
      </c>
      <c r="M105">
        <f>IFERROR(VLOOKUP(BikeData[[#This Row],[Intents]],[1]!Table2[#Data],4,FALSE),"")</f>
        <v>0.32840000000000003</v>
      </c>
      <c r="N105">
        <f>IFERROR(VLOOKUP(BikeData[[#This Row],[Intents]],[1]!Table2[#Data],5,FALSE),"")</f>
        <v>5</v>
      </c>
      <c r="O105">
        <f>IFERROR(VLOOKUP(BikeData[[#This Row],[Intents]],[1]!Table2[#Data],6,FALSE),"")</f>
        <v>74</v>
      </c>
      <c r="P105">
        <f>IFERROR(VLOOKUP(BikeData[[#This Row],[Intents]],[1]!Table2[#Data],7,FALSE),"")</f>
        <v>79</v>
      </c>
      <c r="Q105" s="2" t="str">
        <f>CHOOSE(BikeData[[#This Row],[Season]],"Spring","Summer","Fall","Winter")</f>
        <v>Spring</v>
      </c>
      <c r="R105" s="2" t="str">
        <f>CHOOSE(BikeData[[#This Row],[Weathersituation]],"Clear","Mist","Light Rain","Heavy Rain")</f>
        <v>Clear</v>
      </c>
      <c r="S105" s="2" t="str">
        <f>TEXT(BikeData[[#This Row],[Date]],"mmm")</f>
        <v>Jan</v>
      </c>
    </row>
    <row r="106" spans="1:19" x14ac:dyDescent="0.3">
      <c r="A106">
        <v>105</v>
      </c>
      <c r="B106" s="5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 s="6">
        <f>BikeData[[#This Row],[Temperature]]</f>
        <v>0.28000000000000003</v>
      </c>
      <c r="L106">
        <f>IFERROR(VLOOKUP(BikeData[[#This Row],[Intents]],[1]!Table2[#Data],3,FALSE),"")</f>
        <v>0.3</v>
      </c>
      <c r="M106">
        <f>IFERROR(VLOOKUP(BikeData[[#This Row],[Intents]],[1]!Table2[#Data],4,FALSE),"")</f>
        <v>0.29849999999999999</v>
      </c>
      <c r="N106">
        <f>IFERROR(VLOOKUP(BikeData[[#This Row],[Intents]],[1]!Table2[#Data],5,FALSE),"")</f>
        <v>6</v>
      </c>
      <c r="O106">
        <f>IFERROR(VLOOKUP(BikeData[[#This Row],[Intents]],[1]!Table2[#Data],6,FALSE),"")</f>
        <v>65</v>
      </c>
      <c r="P106">
        <f>IFERROR(VLOOKUP(BikeData[[#This Row],[Intents]],[1]!Table2[#Data],7,FALSE),"")</f>
        <v>71</v>
      </c>
      <c r="Q106" s="2" t="str">
        <f>CHOOSE(BikeData[[#This Row],[Season]],"Spring","Summer","Fall","Winter")</f>
        <v>Spring</v>
      </c>
      <c r="R106" s="2" t="str">
        <f>CHOOSE(BikeData[[#This Row],[Weathersituation]],"Clear","Mist","Light Rain","Heavy Rain")</f>
        <v>Clear</v>
      </c>
      <c r="S106" s="2" t="str">
        <f>TEXT(BikeData[[#This Row],[Date]],"mmm")</f>
        <v>Jan</v>
      </c>
    </row>
    <row r="107" spans="1:19" x14ac:dyDescent="0.3">
      <c r="A107">
        <v>106</v>
      </c>
      <c r="B107" s="5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 s="6">
        <f>BikeData[[#This Row],[Temperature]]</f>
        <v>0.3</v>
      </c>
      <c r="L107">
        <f>IFERROR(VLOOKUP(BikeData[[#This Row],[Intents]],[1]!Table2[#Data],3,FALSE),"")</f>
        <v>0.28000000000000003</v>
      </c>
      <c r="M107">
        <f>IFERROR(VLOOKUP(BikeData[[#This Row],[Intents]],[1]!Table2[#Data],4,FALSE),"")</f>
        <v>0.19400000000000001</v>
      </c>
      <c r="N107">
        <f>IFERROR(VLOOKUP(BikeData[[#This Row],[Intents]],[1]!Table2[#Data],5,FALSE),"")</f>
        <v>10</v>
      </c>
      <c r="O107">
        <f>IFERROR(VLOOKUP(BikeData[[#This Row],[Intents]],[1]!Table2[#Data],6,FALSE),"")</f>
        <v>52</v>
      </c>
      <c r="P107">
        <f>IFERROR(VLOOKUP(BikeData[[#This Row],[Intents]],[1]!Table2[#Data],7,FALSE),"")</f>
        <v>62</v>
      </c>
      <c r="Q107" s="2" t="str">
        <f>CHOOSE(BikeData[[#This Row],[Season]],"Spring","Summer","Fall","Winter")</f>
        <v>Spring</v>
      </c>
      <c r="R107" s="2" t="str">
        <f>CHOOSE(BikeData[[#This Row],[Weathersituation]],"Clear","Mist","Light Rain","Heavy Rain")</f>
        <v>Clear</v>
      </c>
      <c r="S107" s="2" t="str">
        <f>TEXT(BikeData[[#This Row],[Date]],"mmm")</f>
        <v>Jan</v>
      </c>
    </row>
    <row r="108" spans="1:19" x14ac:dyDescent="0.3">
      <c r="A108">
        <v>107</v>
      </c>
      <c r="B108" s="5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 s="6">
        <f>BikeData[[#This Row],[Temperature]]</f>
        <v>0.3</v>
      </c>
      <c r="L108">
        <f>IFERROR(VLOOKUP(BikeData[[#This Row],[Intents]],[1]!Table2[#Data],3,FALSE),"")</f>
        <v>0.28000000000000003</v>
      </c>
      <c r="M108">
        <f>IFERROR(VLOOKUP(BikeData[[#This Row],[Intents]],[1]!Table2[#Data],4,FALSE),"")</f>
        <v>0.19400000000000001</v>
      </c>
      <c r="N108">
        <f>IFERROR(VLOOKUP(BikeData[[#This Row],[Intents]],[1]!Table2[#Data],5,FALSE),"")</f>
        <v>7</v>
      </c>
      <c r="O108">
        <f>IFERROR(VLOOKUP(BikeData[[#This Row],[Intents]],[1]!Table2[#Data],6,FALSE),"")</f>
        <v>55</v>
      </c>
      <c r="P108">
        <f>IFERROR(VLOOKUP(BikeData[[#This Row],[Intents]],[1]!Table2[#Data],7,FALSE),"")</f>
        <v>62</v>
      </c>
      <c r="Q108" s="2" t="str">
        <f>CHOOSE(BikeData[[#This Row],[Season]],"Spring","Summer","Fall","Winter")</f>
        <v>Spring</v>
      </c>
      <c r="R108" s="2" t="str">
        <f>CHOOSE(BikeData[[#This Row],[Weathersituation]],"Clear","Mist","Light Rain","Heavy Rain")</f>
        <v>Clear</v>
      </c>
      <c r="S108" s="2" t="str">
        <f>TEXT(BikeData[[#This Row],[Date]],"mmm")</f>
        <v>Jan</v>
      </c>
    </row>
    <row r="109" spans="1:19" x14ac:dyDescent="0.3">
      <c r="A109">
        <v>108</v>
      </c>
      <c r="B109" s="5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 s="6">
        <f>BikeData[[#This Row],[Temperature]]</f>
        <v>0.3</v>
      </c>
      <c r="L109">
        <f>IFERROR(VLOOKUP(BikeData[[#This Row],[Intents]],[1]!Table2[#Data],3,FALSE),"")</f>
        <v>0.28000000000000003</v>
      </c>
      <c r="M109">
        <f>IFERROR(VLOOKUP(BikeData[[#This Row],[Intents]],[1]!Table2[#Data],4,FALSE),"")</f>
        <v>8.9599999999999999E-2</v>
      </c>
      <c r="N109">
        <f>IFERROR(VLOOKUP(BikeData[[#This Row],[Intents]],[1]!Table2[#Data],5,FALSE),"")</f>
        <v>4</v>
      </c>
      <c r="O109">
        <f>IFERROR(VLOOKUP(BikeData[[#This Row],[Intents]],[1]!Table2[#Data],6,FALSE),"")</f>
        <v>85</v>
      </c>
      <c r="P109">
        <f>IFERROR(VLOOKUP(BikeData[[#This Row],[Intents]],[1]!Table2[#Data],7,FALSE),"")</f>
        <v>89</v>
      </c>
      <c r="Q109" s="2" t="str">
        <f>CHOOSE(BikeData[[#This Row],[Season]],"Spring","Summer","Fall","Winter")</f>
        <v>Spring</v>
      </c>
      <c r="R109" s="2" t="str">
        <f>CHOOSE(BikeData[[#This Row],[Weathersituation]],"Clear","Mist","Light Rain","Heavy Rain")</f>
        <v>Clear</v>
      </c>
      <c r="S109" s="2" t="str">
        <f>TEXT(BikeData[[#This Row],[Date]],"mmm")</f>
        <v>Jan</v>
      </c>
    </row>
    <row r="110" spans="1:19" x14ac:dyDescent="0.3">
      <c r="A110">
        <v>109</v>
      </c>
      <c r="B110" s="5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 s="6">
        <f>BikeData[[#This Row],[Temperature]]</f>
        <v>0.24</v>
      </c>
      <c r="L110">
        <f>IFERROR(VLOOKUP(BikeData[[#This Row],[Intents]],[1]!Table2[#Data],3,FALSE),"")</f>
        <v>0.38</v>
      </c>
      <c r="M110">
        <f>IFERROR(VLOOKUP(BikeData[[#This Row],[Intents]],[1]!Table2[#Data],4,FALSE),"")</f>
        <v>0.19400000000000001</v>
      </c>
      <c r="N110">
        <f>IFERROR(VLOOKUP(BikeData[[#This Row],[Intents]],[1]!Table2[#Data],5,FALSE),"")</f>
        <v>4</v>
      </c>
      <c r="O110">
        <f>IFERROR(VLOOKUP(BikeData[[#This Row],[Intents]],[1]!Table2[#Data],6,FALSE),"")</f>
        <v>186</v>
      </c>
      <c r="P110">
        <f>IFERROR(VLOOKUP(BikeData[[#This Row],[Intents]],[1]!Table2[#Data],7,FALSE),"")</f>
        <v>190</v>
      </c>
      <c r="Q110" s="2" t="str">
        <f>CHOOSE(BikeData[[#This Row],[Season]],"Spring","Summer","Fall","Winter")</f>
        <v>Spring</v>
      </c>
      <c r="R110" s="2" t="str">
        <f>CHOOSE(BikeData[[#This Row],[Weathersituation]],"Clear","Mist","Light Rain","Heavy Rain")</f>
        <v>Clear</v>
      </c>
      <c r="S110" s="2" t="str">
        <f>TEXT(BikeData[[#This Row],[Date]],"mmm")</f>
        <v>Jan</v>
      </c>
    </row>
    <row r="111" spans="1:19" x14ac:dyDescent="0.3">
      <c r="A111">
        <v>110</v>
      </c>
      <c r="B111" s="5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 s="6">
        <f>BikeData[[#This Row],[Temperature]]</f>
        <v>0.24</v>
      </c>
      <c r="L111">
        <f>IFERROR(VLOOKUP(BikeData[[#This Row],[Intents]],[1]!Table2[#Data],3,FALSE),"")</f>
        <v>0.38</v>
      </c>
      <c r="M111">
        <f>IFERROR(VLOOKUP(BikeData[[#This Row],[Intents]],[1]!Table2[#Data],4,FALSE),"")</f>
        <v>0.1343</v>
      </c>
      <c r="N111">
        <f>IFERROR(VLOOKUP(BikeData[[#This Row],[Intents]],[1]!Table2[#Data],5,FALSE),"")</f>
        <v>3</v>
      </c>
      <c r="O111">
        <f>IFERROR(VLOOKUP(BikeData[[#This Row],[Intents]],[1]!Table2[#Data],6,FALSE),"")</f>
        <v>166</v>
      </c>
      <c r="P111">
        <f>IFERROR(VLOOKUP(BikeData[[#This Row],[Intents]],[1]!Table2[#Data],7,FALSE),"")</f>
        <v>169</v>
      </c>
      <c r="Q111" s="2" t="str">
        <f>CHOOSE(BikeData[[#This Row],[Season]],"Spring","Summer","Fall","Winter")</f>
        <v>Spring</v>
      </c>
      <c r="R111" s="2" t="str">
        <f>CHOOSE(BikeData[[#This Row],[Weathersituation]],"Clear","Mist","Light Rain","Heavy Rain")</f>
        <v>Clear</v>
      </c>
      <c r="S111" s="2" t="str">
        <f>TEXT(BikeData[[#This Row],[Date]],"mmm")</f>
        <v>Jan</v>
      </c>
    </row>
    <row r="112" spans="1:19" x14ac:dyDescent="0.3">
      <c r="A112">
        <v>111</v>
      </c>
      <c r="B112" s="5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 s="6">
        <f>BikeData[[#This Row],[Temperature]]</f>
        <v>0.24</v>
      </c>
      <c r="L112">
        <f>IFERROR(VLOOKUP(BikeData[[#This Row],[Intents]],[1]!Table2[#Data],3,FALSE),"")</f>
        <v>0.38</v>
      </c>
      <c r="M112">
        <f>IFERROR(VLOOKUP(BikeData[[#This Row],[Intents]],[1]!Table2[#Data],4,FALSE),"")</f>
        <v>0.1045</v>
      </c>
      <c r="N112">
        <f>IFERROR(VLOOKUP(BikeData[[#This Row],[Intents]],[1]!Table2[#Data],5,FALSE),"")</f>
        <v>5</v>
      </c>
      <c r="O112">
        <f>IFERROR(VLOOKUP(BikeData[[#This Row],[Intents]],[1]!Table2[#Data],6,FALSE),"")</f>
        <v>127</v>
      </c>
      <c r="P112">
        <f>IFERROR(VLOOKUP(BikeData[[#This Row],[Intents]],[1]!Table2[#Data],7,FALSE),"")</f>
        <v>132</v>
      </c>
      <c r="Q112" s="2" t="str">
        <f>CHOOSE(BikeData[[#This Row],[Season]],"Spring","Summer","Fall","Winter")</f>
        <v>Spring</v>
      </c>
      <c r="R112" s="2" t="str">
        <f>CHOOSE(BikeData[[#This Row],[Weathersituation]],"Clear","Mist","Light Rain","Heavy Rain")</f>
        <v>Clear</v>
      </c>
      <c r="S112" s="2" t="str">
        <f>TEXT(BikeData[[#This Row],[Date]],"mmm")</f>
        <v>Jan</v>
      </c>
    </row>
    <row r="113" spans="1:19" x14ac:dyDescent="0.3">
      <c r="A113">
        <v>112</v>
      </c>
      <c r="B113" s="5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 s="6">
        <f>BikeData[[#This Row],[Temperature]]</f>
        <v>0.22</v>
      </c>
      <c r="L113">
        <f>IFERROR(VLOOKUP(BikeData[[#This Row],[Intents]],[1]!Table2[#Data],3,FALSE),"")</f>
        <v>0.47</v>
      </c>
      <c r="M113">
        <f>IFERROR(VLOOKUP(BikeData[[#This Row],[Intents]],[1]!Table2[#Data],4,FALSE),"")</f>
        <v>0.16420000000000001</v>
      </c>
      <c r="N113">
        <f>IFERROR(VLOOKUP(BikeData[[#This Row],[Intents]],[1]!Table2[#Data],5,FALSE),"")</f>
        <v>7</v>
      </c>
      <c r="O113">
        <f>IFERROR(VLOOKUP(BikeData[[#This Row],[Intents]],[1]!Table2[#Data],6,FALSE),"")</f>
        <v>82</v>
      </c>
      <c r="P113">
        <f>IFERROR(VLOOKUP(BikeData[[#This Row],[Intents]],[1]!Table2[#Data],7,FALSE),"")</f>
        <v>89</v>
      </c>
      <c r="Q113" s="2" t="str">
        <f>CHOOSE(BikeData[[#This Row],[Season]],"Spring","Summer","Fall","Winter")</f>
        <v>Spring</v>
      </c>
      <c r="R113" s="2" t="str">
        <f>CHOOSE(BikeData[[#This Row],[Weathersituation]],"Clear","Mist","Light Rain","Heavy Rain")</f>
        <v>Clear</v>
      </c>
      <c r="S113" s="2" t="str">
        <f>TEXT(BikeData[[#This Row],[Date]],"mmm")</f>
        <v>Jan</v>
      </c>
    </row>
    <row r="114" spans="1:19" x14ac:dyDescent="0.3">
      <c r="A114">
        <v>113</v>
      </c>
      <c r="B114" s="5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 s="6">
        <f>BikeData[[#This Row],[Temperature]]</f>
        <v>0.2</v>
      </c>
      <c r="L114">
        <f>IFERROR(VLOOKUP(BikeData[[#This Row],[Intents]],[1]!Table2[#Data],3,FALSE),"")</f>
        <v>0.51</v>
      </c>
      <c r="M114">
        <f>IFERROR(VLOOKUP(BikeData[[#This Row],[Intents]],[1]!Table2[#Data],4,FALSE),"")</f>
        <v>0.19400000000000001</v>
      </c>
      <c r="N114">
        <f>IFERROR(VLOOKUP(BikeData[[#This Row],[Intents]],[1]!Table2[#Data],5,FALSE),"")</f>
        <v>3</v>
      </c>
      <c r="O114">
        <f>IFERROR(VLOOKUP(BikeData[[#This Row],[Intents]],[1]!Table2[#Data],6,FALSE),"")</f>
        <v>40</v>
      </c>
      <c r="P114">
        <f>IFERROR(VLOOKUP(BikeData[[#This Row],[Intents]],[1]!Table2[#Data],7,FALSE),"")</f>
        <v>43</v>
      </c>
      <c r="Q114" s="2" t="str">
        <f>CHOOSE(BikeData[[#This Row],[Season]],"Spring","Summer","Fall","Winter")</f>
        <v>Spring</v>
      </c>
      <c r="R114" s="2" t="str">
        <f>CHOOSE(BikeData[[#This Row],[Weathersituation]],"Clear","Mist","Light Rain","Heavy Rain")</f>
        <v>Clear</v>
      </c>
      <c r="S114" s="2" t="str">
        <f>TEXT(BikeData[[#This Row],[Date]],"mmm")</f>
        <v>Jan</v>
      </c>
    </row>
    <row r="115" spans="1:19" x14ac:dyDescent="0.3">
      <c r="A115">
        <v>114</v>
      </c>
      <c r="B115" s="5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 s="6">
        <f>BikeData[[#This Row],[Temperature]]</f>
        <v>0.18</v>
      </c>
      <c r="L115">
        <f>IFERROR(VLOOKUP(BikeData[[#This Row],[Intents]],[1]!Table2[#Data],3,FALSE),"")</f>
        <v>0.55000000000000004</v>
      </c>
      <c r="M115">
        <f>IFERROR(VLOOKUP(BikeData[[#This Row],[Intents]],[1]!Table2[#Data],4,FALSE),"")</f>
        <v>0.1343</v>
      </c>
      <c r="N115">
        <f>IFERROR(VLOOKUP(BikeData[[#This Row],[Intents]],[1]!Table2[#Data],5,FALSE),"")</f>
        <v>1</v>
      </c>
      <c r="O115">
        <f>IFERROR(VLOOKUP(BikeData[[#This Row],[Intents]],[1]!Table2[#Data],6,FALSE),"")</f>
        <v>41</v>
      </c>
      <c r="P115">
        <f>IFERROR(VLOOKUP(BikeData[[#This Row],[Intents]],[1]!Table2[#Data],7,FALSE),"")</f>
        <v>42</v>
      </c>
      <c r="Q115" s="2" t="str">
        <f>CHOOSE(BikeData[[#This Row],[Season]],"Spring","Summer","Fall","Winter")</f>
        <v>Spring</v>
      </c>
      <c r="R115" s="2" t="str">
        <f>CHOOSE(BikeData[[#This Row],[Weathersituation]],"Clear","Mist","Light Rain","Heavy Rain")</f>
        <v>Clear</v>
      </c>
      <c r="S115" s="2" t="str">
        <f>TEXT(BikeData[[#This Row],[Date]],"mmm")</f>
        <v>Jan</v>
      </c>
    </row>
    <row r="116" spans="1:19" x14ac:dyDescent="0.3">
      <c r="A116">
        <v>115</v>
      </c>
      <c r="B116" s="5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 s="6">
        <f>BikeData[[#This Row],[Temperature]]</f>
        <v>0.2</v>
      </c>
      <c r="L116">
        <f>IFERROR(VLOOKUP(BikeData[[#This Row],[Intents]],[1]!Table2[#Data],3,FALSE),"")</f>
        <v>0.47</v>
      </c>
      <c r="M116">
        <f>IFERROR(VLOOKUP(BikeData[[#This Row],[Intents]],[1]!Table2[#Data],4,FALSE),"")</f>
        <v>0</v>
      </c>
      <c r="N116">
        <f>IFERROR(VLOOKUP(BikeData[[#This Row],[Intents]],[1]!Table2[#Data],5,FALSE),"")</f>
        <v>1</v>
      </c>
      <c r="O116">
        <f>IFERROR(VLOOKUP(BikeData[[#This Row],[Intents]],[1]!Table2[#Data],6,FALSE),"")</f>
        <v>18</v>
      </c>
      <c r="P116">
        <f>IFERROR(VLOOKUP(BikeData[[#This Row],[Intents]],[1]!Table2[#Data],7,FALSE),"")</f>
        <v>19</v>
      </c>
      <c r="Q116" s="2" t="str">
        <f>CHOOSE(BikeData[[#This Row],[Season]],"Spring","Summer","Fall","Winter")</f>
        <v>Spring</v>
      </c>
      <c r="R116" s="2" t="str">
        <f>CHOOSE(BikeData[[#This Row],[Weathersituation]],"Clear","Mist","Light Rain","Heavy Rain")</f>
        <v>Clear</v>
      </c>
      <c r="S116" s="2" t="str">
        <f>TEXT(BikeData[[#This Row],[Date]],"mmm")</f>
        <v>Jan</v>
      </c>
    </row>
    <row r="117" spans="1:19" x14ac:dyDescent="0.3">
      <c r="A117">
        <v>116</v>
      </c>
      <c r="B117" s="5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 s="6">
        <f>BikeData[[#This Row],[Temperature]]</f>
        <v>0.18</v>
      </c>
      <c r="L117">
        <f>IFERROR(VLOOKUP(BikeData[[#This Row],[Intents]],[1]!Table2[#Data],3,FALSE),"")</f>
        <v>0.55000000000000004</v>
      </c>
      <c r="M117">
        <f>IFERROR(VLOOKUP(BikeData[[#This Row],[Intents]],[1]!Table2[#Data],4,FALSE),"")</f>
        <v>0</v>
      </c>
      <c r="N117">
        <f>IFERROR(VLOOKUP(BikeData[[#This Row],[Intents]],[1]!Table2[#Data],5,FALSE),"")</f>
        <v>0</v>
      </c>
      <c r="O117">
        <f>IFERROR(VLOOKUP(BikeData[[#This Row],[Intents]],[1]!Table2[#Data],6,FALSE),"")</f>
        <v>11</v>
      </c>
      <c r="P117">
        <f>IFERROR(VLOOKUP(BikeData[[#This Row],[Intents]],[1]!Table2[#Data],7,FALSE),"")</f>
        <v>11</v>
      </c>
      <c r="Q117" s="2" t="str">
        <f>CHOOSE(BikeData[[#This Row],[Season]],"Spring","Summer","Fall","Winter")</f>
        <v>Spring</v>
      </c>
      <c r="R117" s="2" t="str">
        <f>CHOOSE(BikeData[[#This Row],[Weathersituation]],"Clear","Mist","Light Rain","Heavy Rain")</f>
        <v>Clear</v>
      </c>
      <c r="S117" s="2" t="str">
        <f>TEXT(BikeData[[#This Row],[Date]],"mmm")</f>
        <v>Jan</v>
      </c>
    </row>
    <row r="118" spans="1:19" x14ac:dyDescent="0.3">
      <c r="A118">
        <v>117</v>
      </c>
      <c r="B118" s="5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 s="6">
        <f>BikeData[[#This Row],[Temperature]]</f>
        <v>0.16</v>
      </c>
      <c r="L118">
        <f>IFERROR(VLOOKUP(BikeData[[#This Row],[Intents]],[1]!Table2[#Data],3,FALSE),"")</f>
        <v>0.64</v>
      </c>
      <c r="M118">
        <f>IFERROR(VLOOKUP(BikeData[[#This Row],[Intents]],[1]!Table2[#Data],4,FALSE),"")</f>
        <v>0</v>
      </c>
      <c r="N118">
        <f>IFERROR(VLOOKUP(BikeData[[#This Row],[Intents]],[1]!Table2[#Data],5,FALSE),"")</f>
        <v>0</v>
      </c>
      <c r="O118">
        <f>IFERROR(VLOOKUP(BikeData[[#This Row],[Intents]],[1]!Table2[#Data],6,FALSE),"")</f>
        <v>4</v>
      </c>
      <c r="P118">
        <f>IFERROR(VLOOKUP(BikeData[[#This Row],[Intents]],[1]!Table2[#Data],7,FALSE),"")</f>
        <v>4</v>
      </c>
      <c r="Q118" s="2" t="str">
        <f>CHOOSE(BikeData[[#This Row],[Season]],"Spring","Summer","Fall","Winter")</f>
        <v>Spring</v>
      </c>
      <c r="R118" s="2" t="str">
        <f>CHOOSE(BikeData[[#This Row],[Weathersituation]],"Clear","Mist","Light Rain","Heavy Rain")</f>
        <v>Clear</v>
      </c>
      <c r="S118" s="2" t="str">
        <f>TEXT(BikeData[[#This Row],[Date]],"mmm")</f>
        <v>Jan</v>
      </c>
    </row>
    <row r="119" spans="1:19" x14ac:dyDescent="0.3">
      <c r="A119">
        <v>118</v>
      </c>
      <c r="B119" s="5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 s="6">
        <f>BikeData[[#This Row],[Temperature]]</f>
        <v>0.16</v>
      </c>
      <c r="L119">
        <f>IFERROR(VLOOKUP(BikeData[[#This Row],[Intents]],[1]!Table2[#Data],3,FALSE),"")</f>
        <v>0.64</v>
      </c>
      <c r="M119">
        <f>IFERROR(VLOOKUP(BikeData[[#This Row],[Intents]],[1]!Table2[#Data],4,FALSE),"")</f>
        <v>0</v>
      </c>
      <c r="N119">
        <f>IFERROR(VLOOKUP(BikeData[[#This Row],[Intents]],[1]!Table2[#Data],5,FALSE),"")</f>
        <v>0</v>
      </c>
      <c r="O119">
        <f>IFERROR(VLOOKUP(BikeData[[#This Row],[Intents]],[1]!Table2[#Data],6,FALSE),"")</f>
        <v>2</v>
      </c>
      <c r="P119">
        <f>IFERROR(VLOOKUP(BikeData[[#This Row],[Intents]],[1]!Table2[#Data],7,FALSE),"")</f>
        <v>2</v>
      </c>
      <c r="Q119" s="2" t="str">
        <f>CHOOSE(BikeData[[#This Row],[Season]],"Spring","Summer","Fall","Winter")</f>
        <v>Spring</v>
      </c>
      <c r="R119" s="2" t="str">
        <f>CHOOSE(BikeData[[#This Row],[Weathersituation]],"Clear","Mist","Light Rain","Heavy Rain")</f>
        <v>Clear</v>
      </c>
      <c r="S119" s="2" t="str">
        <f>TEXT(BikeData[[#This Row],[Date]],"mmm")</f>
        <v>Jan</v>
      </c>
    </row>
    <row r="120" spans="1:19" x14ac:dyDescent="0.3">
      <c r="A120">
        <v>119</v>
      </c>
      <c r="B120" s="5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 s="6">
        <f>BikeData[[#This Row],[Temperature]]</f>
        <v>0.16</v>
      </c>
      <c r="L120">
        <f>IFERROR(VLOOKUP(BikeData[[#This Row],[Intents]],[1]!Table2[#Data],3,FALSE),"")</f>
        <v>0.64</v>
      </c>
      <c r="M120">
        <f>IFERROR(VLOOKUP(BikeData[[#This Row],[Intents]],[1]!Table2[#Data],4,FALSE),"")</f>
        <v>8.9599999999999999E-2</v>
      </c>
      <c r="N120">
        <f>IFERROR(VLOOKUP(BikeData[[#This Row],[Intents]],[1]!Table2[#Data],5,FALSE),"")</f>
        <v>0</v>
      </c>
      <c r="O120">
        <f>IFERROR(VLOOKUP(BikeData[[#This Row],[Intents]],[1]!Table2[#Data],6,FALSE),"")</f>
        <v>1</v>
      </c>
      <c r="P120">
        <f>IFERROR(VLOOKUP(BikeData[[#This Row],[Intents]],[1]!Table2[#Data],7,FALSE),"")</f>
        <v>1</v>
      </c>
      <c r="Q120" s="2" t="str">
        <f>CHOOSE(BikeData[[#This Row],[Season]],"Spring","Summer","Fall","Winter")</f>
        <v>Spring</v>
      </c>
      <c r="R120" s="2" t="str">
        <f>CHOOSE(BikeData[[#This Row],[Weathersituation]],"Clear","Mist","Light Rain","Heavy Rain")</f>
        <v>Mist</v>
      </c>
      <c r="S120" s="2" t="str">
        <f>TEXT(BikeData[[#This Row],[Date]],"mmm")</f>
        <v>Jan</v>
      </c>
    </row>
    <row r="121" spans="1:19" x14ac:dyDescent="0.3">
      <c r="A121">
        <v>120</v>
      </c>
      <c r="B121" s="5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 s="6">
        <f>BikeData[[#This Row],[Temperature]]</f>
        <v>0.14000000000000001</v>
      </c>
      <c r="L121">
        <f>IFERROR(VLOOKUP(BikeData[[#This Row],[Intents]],[1]!Table2[#Data],3,FALSE),"")</f>
        <v>0.69</v>
      </c>
      <c r="M121">
        <f>IFERROR(VLOOKUP(BikeData[[#This Row],[Intents]],[1]!Table2[#Data],4,FALSE),"")</f>
        <v>8.9599999999999999E-2</v>
      </c>
      <c r="N121">
        <f>IFERROR(VLOOKUP(BikeData[[#This Row],[Intents]],[1]!Table2[#Data],5,FALSE),"")</f>
        <v>0</v>
      </c>
      <c r="O121">
        <f>IFERROR(VLOOKUP(BikeData[[#This Row],[Intents]],[1]!Table2[#Data],6,FALSE),"")</f>
        <v>4</v>
      </c>
      <c r="P121">
        <f>IFERROR(VLOOKUP(BikeData[[#This Row],[Intents]],[1]!Table2[#Data],7,FALSE),"")</f>
        <v>4</v>
      </c>
      <c r="Q121" s="2" t="str">
        <f>CHOOSE(BikeData[[#This Row],[Season]],"Spring","Summer","Fall","Winter")</f>
        <v>Spring</v>
      </c>
      <c r="R121" s="2" t="str">
        <f>CHOOSE(BikeData[[#This Row],[Weathersituation]],"Clear","Mist","Light Rain","Heavy Rain")</f>
        <v>Mist</v>
      </c>
      <c r="S121" s="2" t="str">
        <f>TEXT(BikeData[[#This Row],[Date]],"mmm")</f>
        <v>Jan</v>
      </c>
    </row>
    <row r="122" spans="1:19" x14ac:dyDescent="0.3">
      <c r="A122">
        <v>121</v>
      </c>
      <c r="B122" s="5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 s="6">
        <f>BikeData[[#This Row],[Temperature]]</f>
        <v>0.14000000000000001</v>
      </c>
      <c r="L122">
        <f>IFERROR(VLOOKUP(BikeData[[#This Row],[Intents]],[1]!Table2[#Data],3,FALSE),"")</f>
        <v>0.63</v>
      </c>
      <c r="M122">
        <f>IFERROR(VLOOKUP(BikeData[[#This Row],[Intents]],[1]!Table2[#Data],4,FALSE),"")</f>
        <v>0.1045</v>
      </c>
      <c r="N122">
        <f>IFERROR(VLOOKUP(BikeData[[#This Row],[Intents]],[1]!Table2[#Data],5,FALSE),"")</f>
        <v>0</v>
      </c>
      <c r="O122">
        <f>IFERROR(VLOOKUP(BikeData[[#This Row],[Intents]],[1]!Table2[#Data],6,FALSE),"")</f>
        <v>36</v>
      </c>
      <c r="P122">
        <f>IFERROR(VLOOKUP(BikeData[[#This Row],[Intents]],[1]!Table2[#Data],7,FALSE),"")</f>
        <v>36</v>
      </c>
      <c r="Q122" s="2" t="str">
        <f>CHOOSE(BikeData[[#This Row],[Season]],"Spring","Summer","Fall","Winter")</f>
        <v>Spring</v>
      </c>
      <c r="R122" s="2" t="str">
        <f>CHOOSE(BikeData[[#This Row],[Weathersituation]],"Clear","Mist","Light Rain","Heavy Rain")</f>
        <v>Mist</v>
      </c>
      <c r="S122" s="2" t="str">
        <f>TEXT(BikeData[[#This Row],[Date]],"mmm")</f>
        <v>Jan</v>
      </c>
    </row>
    <row r="123" spans="1:19" x14ac:dyDescent="0.3">
      <c r="A123">
        <v>122</v>
      </c>
      <c r="B123" s="5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 s="6">
        <f>BikeData[[#This Row],[Temperature]]</f>
        <v>0.16</v>
      </c>
      <c r="L123">
        <f>IFERROR(VLOOKUP(BikeData[[#This Row],[Intents]],[1]!Table2[#Data],3,FALSE),"")</f>
        <v>0.59</v>
      </c>
      <c r="M123">
        <f>IFERROR(VLOOKUP(BikeData[[#This Row],[Intents]],[1]!Table2[#Data],4,FALSE),"")</f>
        <v>0</v>
      </c>
      <c r="N123">
        <f>IFERROR(VLOOKUP(BikeData[[#This Row],[Intents]],[1]!Table2[#Data],5,FALSE),"")</f>
        <v>0</v>
      </c>
      <c r="O123">
        <f>IFERROR(VLOOKUP(BikeData[[#This Row],[Intents]],[1]!Table2[#Data],6,FALSE),"")</f>
        <v>95</v>
      </c>
      <c r="P123">
        <f>IFERROR(VLOOKUP(BikeData[[#This Row],[Intents]],[1]!Table2[#Data],7,FALSE),"")</f>
        <v>95</v>
      </c>
      <c r="Q123" s="2" t="str">
        <f>CHOOSE(BikeData[[#This Row],[Season]],"Spring","Summer","Fall","Winter")</f>
        <v>Spring</v>
      </c>
      <c r="R123" s="2" t="str">
        <f>CHOOSE(BikeData[[#This Row],[Weathersituation]],"Clear","Mist","Light Rain","Heavy Rain")</f>
        <v>Mist</v>
      </c>
      <c r="S123" s="2" t="str">
        <f>TEXT(BikeData[[#This Row],[Date]],"mmm")</f>
        <v>Jan</v>
      </c>
    </row>
    <row r="124" spans="1:19" x14ac:dyDescent="0.3">
      <c r="A124">
        <v>123</v>
      </c>
      <c r="B124" s="5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 s="6">
        <f>BikeData[[#This Row],[Temperature]]</f>
        <v>0.16</v>
      </c>
      <c r="L124">
        <f>IFERROR(VLOOKUP(BikeData[[#This Row],[Intents]],[1]!Table2[#Data],3,FALSE),"")</f>
        <v>0.59</v>
      </c>
      <c r="M124">
        <f>IFERROR(VLOOKUP(BikeData[[#This Row],[Intents]],[1]!Table2[#Data],4,FALSE),"")</f>
        <v>0</v>
      </c>
      <c r="N124">
        <f>IFERROR(VLOOKUP(BikeData[[#This Row],[Intents]],[1]!Table2[#Data],5,FALSE),"")</f>
        <v>3</v>
      </c>
      <c r="O124">
        <f>IFERROR(VLOOKUP(BikeData[[#This Row],[Intents]],[1]!Table2[#Data],6,FALSE),"")</f>
        <v>216</v>
      </c>
      <c r="P124">
        <f>IFERROR(VLOOKUP(BikeData[[#This Row],[Intents]],[1]!Table2[#Data],7,FALSE),"")</f>
        <v>219</v>
      </c>
      <c r="Q124" s="2" t="str">
        <f>CHOOSE(BikeData[[#This Row],[Season]],"Spring","Summer","Fall","Winter")</f>
        <v>Spring</v>
      </c>
      <c r="R124" s="2" t="str">
        <f>CHOOSE(BikeData[[#This Row],[Weathersituation]],"Clear","Mist","Light Rain","Heavy Rain")</f>
        <v>Clear</v>
      </c>
      <c r="S124" s="2" t="str">
        <f>TEXT(BikeData[[#This Row],[Date]],"mmm")</f>
        <v>Jan</v>
      </c>
    </row>
    <row r="125" spans="1:19" x14ac:dyDescent="0.3">
      <c r="A125">
        <v>124</v>
      </c>
      <c r="B125" s="5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 s="6">
        <f>BikeData[[#This Row],[Temperature]]</f>
        <v>0.18</v>
      </c>
      <c r="L125">
        <f>IFERROR(VLOOKUP(BikeData[[#This Row],[Intents]],[1]!Table2[#Data],3,FALSE),"")</f>
        <v>0.51</v>
      </c>
      <c r="M125">
        <f>IFERROR(VLOOKUP(BikeData[[#This Row],[Intents]],[1]!Table2[#Data],4,FALSE),"")</f>
        <v>0</v>
      </c>
      <c r="N125">
        <f>IFERROR(VLOOKUP(BikeData[[#This Row],[Intents]],[1]!Table2[#Data],5,FALSE),"")</f>
        <v>6</v>
      </c>
      <c r="O125">
        <f>IFERROR(VLOOKUP(BikeData[[#This Row],[Intents]],[1]!Table2[#Data],6,FALSE),"")</f>
        <v>116</v>
      </c>
      <c r="P125">
        <f>IFERROR(VLOOKUP(BikeData[[#This Row],[Intents]],[1]!Table2[#Data],7,FALSE),"")</f>
        <v>122</v>
      </c>
      <c r="Q125" s="2" t="str">
        <f>CHOOSE(BikeData[[#This Row],[Season]],"Spring","Summer","Fall","Winter")</f>
        <v>Spring</v>
      </c>
      <c r="R125" s="2" t="str">
        <f>CHOOSE(BikeData[[#This Row],[Weathersituation]],"Clear","Mist","Light Rain","Heavy Rain")</f>
        <v>Mist</v>
      </c>
      <c r="S125" s="2" t="str">
        <f>TEXT(BikeData[[#This Row],[Date]],"mmm")</f>
        <v>Jan</v>
      </c>
    </row>
    <row r="126" spans="1:19" x14ac:dyDescent="0.3">
      <c r="A126">
        <v>125</v>
      </c>
      <c r="B126" s="5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 s="6">
        <f>BikeData[[#This Row],[Temperature]]</f>
        <v>0.2</v>
      </c>
      <c r="L126">
        <f>IFERROR(VLOOKUP(BikeData[[#This Row],[Intents]],[1]!Table2[#Data],3,FALSE),"")</f>
        <v>0.47</v>
      </c>
      <c r="M126">
        <f>IFERROR(VLOOKUP(BikeData[[#This Row],[Intents]],[1]!Table2[#Data],4,FALSE),"")</f>
        <v>0</v>
      </c>
      <c r="N126">
        <f>IFERROR(VLOOKUP(BikeData[[#This Row],[Intents]],[1]!Table2[#Data],5,FALSE),"")</f>
        <v>3</v>
      </c>
      <c r="O126">
        <f>IFERROR(VLOOKUP(BikeData[[#This Row],[Intents]],[1]!Table2[#Data],6,FALSE),"")</f>
        <v>42</v>
      </c>
      <c r="P126">
        <f>IFERROR(VLOOKUP(BikeData[[#This Row],[Intents]],[1]!Table2[#Data],7,FALSE),"")</f>
        <v>45</v>
      </c>
      <c r="Q126" s="2" t="str">
        <f>CHOOSE(BikeData[[#This Row],[Season]],"Spring","Summer","Fall","Winter")</f>
        <v>Spring</v>
      </c>
      <c r="R126" s="2" t="str">
        <f>CHOOSE(BikeData[[#This Row],[Weathersituation]],"Clear","Mist","Light Rain","Heavy Rain")</f>
        <v>Clear</v>
      </c>
      <c r="S126" s="2" t="str">
        <f>TEXT(BikeData[[#This Row],[Date]],"mmm")</f>
        <v>Jan</v>
      </c>
    </row>
    <row r="127" spans="1:19" x14ac:dyDescent="0.3">
      <c r="A127">
        <v>126</v>
      </c>
      <c r="B127" s="5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 s="6">
        <f>BikeData[[#This Row],[Temperature]]</f>
        <v>0.22</v>
      </c>
      <c r="L127">
        <f>IFERROR(VLOOKUP(BikeData[[#This Row],[Intents]],[1]!Table2[#Data],3,FALSE),"")</f>
        <v>0.44</v>
      </c>
      <c r="M127">
        <f>IFERROR(VLOOKUP(BikeData[[#This Row],[Intents]],[1]!Table2[#Data],4,FALSE),"")</f>
        <v>8.9599999999999999E-2</v>
      </c>
      <c r="N127">
        <f>IFERROR(VLOOKUP(BikeData[[#This Row],[Intents]],[1]!Table2[#Data],5,FALSE),"")</f>
        <v>2</v>
      </c>
      <c r="O127">
        <f>IFERROR(VLOOKUP(BikeData[[#This Row],[Intents]],[1]!Table2[#Data],6,FALSE),"")</f>
        <v>57</v>
      </c>
      <c r="P127">
        <f>IFERROR(VLOOKUP(BikeData[[#This Row],[Intents]],[1]!Table2[#Data],7,FALSE),"")</f>
        <v>59</v>
      </c>
      <c r="Q127" s="2" t="str">
        <f>CHOOSE(BikeData[[#This Row],[Season]],"Spring","Summer","Fall","Winter")</f>
        <v>Spring</v>
      </c>
      <c r="R127" s="2" t="str">
        <f>CHOOSE(BikeData[[#This Row],[Weathersituation]],"Clear","Mist","Light Rain","Heavy Rain")</f>
        <v>Clear</v>
      </c>
      <c r="S127" s="2" t="str">
        <f>TEXT(BikeData[[#This Row],[Date]],"mmm")</f>
        <v>Jan</v>
      </c>
    </row>
    <row r="128" spans="1:19" x14ac:dyDescent="0.3">
      <c r="A128">
        <v>127</v>
      </c>
      <c r="B128" s="5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 s="6">
        <f>BikeData[[#This Row],[Temperature]]</f>
        <v>0.26</v>
      </c>
      <c r="L128">
        <f>IFERROR(VLOOKUP(BikeData[[#This Row],[Intents]],[1]!Table2[#Data],3,FALSE),"")</f>
        <v>0.35</v>
      </c>
      <c r="M128">
        <f>IFERROR(VLOOKUP(BikeData[[#This Row],[Intents]],[1]!Table2[#Data],4,FALSE),"")</f>
        <v>0</v>
      </c>
      <c r="N128">
        <f>IFERROR(VLOOKUP(BikeData[[#This Row],[Intents]],[1]!Table2[#Data],5,FALSE),"")</f>
        <v>6</v>
      </c>
      <c r="O128">
        <f>IFERROR(VLOOKUP(BikeData[[#This Row],[Intents]],[1]!Table2[#Data],6,FALSE),"")</f>
        <v>78</v>
      </c>
      <c r="P128">
        <f>IFERROR(VLOOKUP(BikeData[[#This Row],[Intents]],[1]!Table2[#Data],7,FALSE),"")</f>
        <v>84</v>
      </c>
      <c r="Q128" s="2" t="str">
        <f>CHOOSE(BikeData[[#This Row],[Season]],"Spring","Summer","Fall","Winter")</f>
        <v>Spring</v>
      </c>
      <c r="R128" s="2" t="str">
        <f>CHOOSE(BikeData[[#This Row],[Weathersituation]],"Clear","Mist","Light Rain","Heavy Rain")</f>
        <v>Clear</v>
      </c>
      <c r="S128" s="2" t="str">
        <f>TEXT(BikeData[[#This Row],[Date]],"mmm")</f>
        <v>Jan</v>
      </c>
    </row>
    <row r="129" spans="1:19" x14ac:dyDescent="0.3">
      <c r="A129">
        <v>128</v>
      </c>
      <c r="B129" s="5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 s="6">
        <f>BikeData[[#This Row],[Temperature]]</f>
        <v>0.26</v>
      </c>
      <c r="L129">
        <f>IFERROR(VLOOKUP(BikeData[[#This Row],[Intents]],[1]!Table2[#Data],3,FALSE),"")</f>
        <v>0.35</v>
      </c>
      <c r="M129">
        <f>IFERROR(VLOOKUP(BikeData[[#This Row],[Intents]],[1]!Table2[#Data],4,FALSE),"")</f>
        <v>0.1045</v>
      </c>
      <c r="N129">
        <f>IFERROR(VLOOKUP(BikeData[[#This Row],[Intents]],[1]!Table2[#Data],5,FALSE),"")</f>
        <v>12</v>
      </c>
      <c r="O129">
        <f>IFERROR(VLOOKUP(BikeData[[#This Row],[Intents]],[1]!Table2[#Data],6,FALSE),"")</f>
        <v>55</v>
      </c>
      <c r="P129">
        <f>IFERROR(VLOOKUP(BikeData[[#This Row],[Intents]],[1]!Table2[#Data],7,FALSE),"")</f>
        <v>67</v>
      </c>
      <c r="Q129" s="2" t="str">
        <f>CHOOSE(BikeData[[#This Row],[Season]],"Spring","Summer","Fall","Winter")</f>
        <v>Spring</v>
      </c>
      <c r="R129" s="2" t="str">
        <f>CHOOSE(BikeData[[#This Row],[Weathersituation]],"Clear","Mist","Light Rain","Heavy Rain")</f>
        <v>Clear</v>
      </c>
      <c r="S129" s="2" t="str">
        <f>TEXT(BikeData[[#This Row],[Date]],"mmm")</f>
        <v>Jan</v>
      </c>
    </row>
    <row r="130" spans="1:19" x14ac:dyDescent="0.3">
      <c r="A130">
        <v>129</v>
      </c>
      <c r="B130" s="5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 s="6">
        <f>BikeData[[#This Row],[Temperature]]</f>
        <v>0.28000000000000003</v>
      </c>
      <c r="L130">
        <f>IFERROR(VLOOKUP(BikeData[[#This Row],[Intents]],[1]!Table2[#Data],3,FALSE),"")</f>
        <v>0.36</v>
      </c>
      <c r="M130">
        <f>IFERROR(VLOOKUP(BikeData[[#This Row],[Intents]],[1]!Table2[#Data],4,FALSE),"")</f>
        <v>0.16420000000000001</v>
      </c>
      <c r="N130">
        <f>IFERROR(VLOOKUP(BikeData[[#This Row],[Intents]],[1]!Table2[#Data],5,FALSE),"")</f>
        <v>11</v>
      </c>
      <c r="O130">
        <f>IFERROR(VLOOKUP(BikeData[[#This Row],[Intents]],[1]!Table2[#Data],6,FALSE),"")</f>
        <v>59</v>
      </c>
      <c r="P130">
        <f>IFERROR(VLOOKUP(BikeData[[#This Row],[Intents]],[1]!Table2[#Data],7,FALSE),"")</f>
        <v>70</v>
      </c>
      <c r="Q130" s="2" t="str">
        <f>CHOOSE(BikeData[[#This Row],[Season]],"Spring","Summer","Fall","Winter")</f>
        <v>Spring</v>
      </c>
      <c r="R130" s="2" t="str">
        <f>CHOOSE(BikeData[[#This Row],[Weathersituation]],"Clear","Mist","Light Rain","Heavy Rain")</f>
        <v>Clear</v>
      </c>
      <c r="S130" s="2" t="str">
        <f>TEXT(BikeData[[#This Row],[Date]],"mmm")</f>
        <v>Jan</v>
      </c>
    </row>
    <row r="131" spans="1:19" x14ac:dyDescent="0.3">
      <c r="A131">
        <v>130</v>
      </c>
      <c r="B131" s="5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 s="6">
        <f>BikeData[[#This Row],[Temperature]]</f>
        <v>0.28000000000000003</v>
      </c>
      <c r="L131">
        <f>IFERROR(VLOOKUP(BikeData[[#This Row],[Intents]],[1]!Table2[#Data],3,FALSE),"")</f>
        <v>0.36</v>
      </c>
      <c r="M131">
        <f>IFERROR(VLOOKUP(BikeData[[#This Row],[Intents]],[1]!Table2[#Data],4,FALSE),"")</f>
        <v>0</v>
      </c>
      <c r="N131">
        <f>IFERROR(VLOOKUP(BikeData[[#This Row],[Intents]],[1]!Table2[#Data],5,FALSE),"")</f>
        <v>8</v>
      </c>
      <c r="O131">
        <f>IFERROR(VLOOKUP(BikeData[[#This Row],[Intents]],[1]!Table2[#Data],6,FALSE),"")</f>
        <v>54</v>
      </c>
      <c r="P131">
        <f>IFERROR(VLOOKUP(BikeData[[#This Row],[Intents]],[1]!Table2[#Data],7,FALSE),"")</f>
        <v>62</v>
      </c>
      <c r="Q131" s="2" t="str">
        <f>CHOOSE(BikeData[[#This Row],[Season]],"Spring","Summer","Fall","Winter")</f>
        <v>Spring</v>
      </c>
      <c r="R131" s="2" t="str">
        <f>CHOOSE(BikeData[[#This Row],[Weathersituation]],"Clear","Mist","Light Rain","Heavy Rain")</f>
        <v>Clear</v>
      </c>
      <c r="S131" s="2" t="str">
        <f>TEXT(BikeData[[#This Row],[Date]],"mmm")</f>
        <v>Jan</v>
      </c>
    </row>
    <row r="132" spans="1:19" x14ac:dyDescent="0.3">
      <c r="A132">
        <v>131</v>
      </c>
      <c r="B132" s="5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 s="6">
        <f>BikeData[[#This Row],[Temperature]]</f>
        <v>0.26</v>
      </c>
      <c r="L132">
        <f>IFERROR(VLOOKUP(BikeData[[#This Row],[Intents]],[1]!Table2[#Data],3,FALSE),"")</f>
        <v>0.38</v>
      </c>
      <c r="M132">
        <f>IFERROR(VLOOKUP(BikeData[[#This Row],[Intents]],[1]!Table2[#Data],4,FALSE),"")</f>
        <v>0.16420000000000001</v>
      </c>
      <c r="N132">
        <f>IFERROR(VLOOKUP(BikeData[[#This Row],[Intents]],[1]!Table2[#Data],5,FALSE),"")</f>
        <v>12</v>
      </c>
      <c r="O132">
        <f>IFERROR(VLOOKUP(BikeData[[#This Row],[Intents]],[1]!Table2[#Data],6,FALSE),"")</f>
        <v>74</v>
      </c>
      <c r="P132">
        <f>IFERROR(VLOOKUP(BikeData[[#This Row],[Intents]],[1]!Table2[#Data],7,FALSE),"")</f>
        <v>86</v>
      </c>
      <c r="Q132" s="2" t="str">
        <f>CHOOSE(BikeData[[#This Row],[Season]],"Spring","Summer","Fall","Winter")</f>
        <v>Spring</v>
      </c>
      <c r="R132" s="2" t="str">
        <f>CHOOSE(BikeData[[#This Row],[Weathersituation]],"Clear","Mist","Light Rain","Heavy Rain")</f>
        <v>Clear</v>
      </c>
      <c r="S132" s="2" t="str">
        <f>TEXT(BikeData[[#This Row],[Date]],"mmm")</f>
        <v>Jan</v>
      </c>
    </row>
    <row r="133" spans="1:19" x14ac:dyDescent="0.3">
      <c r="A133">
        <v>132</v>
      </c>
      <c r="B133" s="5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 s="6">
        <f>BikeData[[#This Row],[Temperature]]</f>
        <v>0.22</v>
      </c>
      <c r="L133">
        <f>IFERROR(VLOOKUP(BikeData[[#This Row],[Intents]],[1]!Table2[#Data],3,FALSE),"")</f>
        <v>0.51</v>
      </c>
      <c r="M133">
        <f>IFERROR(VLOOKUP(BikeData[[#This Row],[Intents]],[1]!Table2[#Data],4,FALSE),"")</f>
        <v>0.16420000000000001</v>
      </c>
      <c r="N133">
        <f>IFERROR(VLOOKUP(BikeData[[#This Row],[Intents]],[1]!Table2[#Data],5,FALSE),"")</f>
        <v>9</v>
      </c>
      <c r="O133">
        <f>IFERROR(VLOOKUP(BikeData[[#This Row],[Intents]],[1]!Table2[#Data],6,FALSE),"")</f>
        <v>163</v>
      </c>
      <c r="P133">
        <f>IFERROR(VLOOKUP(BikeData[[#This Row],[Intents]],[1]!Table2[#Data],7,FALSE),"")</f>
        <v>172</v>
      </c>
      <c r="Q133" s="2" t="str">
        <f>CHOOSE(BikeData[[#This Row],[Season]],"Spring","Summer","Fall","Winter")</f>
        <v>Spring</v>
      </c>
      <c r="R133" s="2" t="str">
        <f>CHOOSE(BikeData[[#This Row],[Weathersituation]],"Clear","Mist","Light Rain","Heavy Rain")</f>
        <v>Clear</v>
      </c>
      <c r="S133" s="2" t="str">
        <f>TEXT(BikeData[[#This Row],[Date]],"mmm")</f>
        <v>Jan</v>
      </c>
    </row>
    <row r="134" spans="1:19" x14ac:dyDescent="0.3">
      <c r="A134">
        <v>133</v>
      </c>
      <c r="B134" s="5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 s="6">
        <f>BikeData[[#This Row],[Temperature]]</f>
        <v>0.22</v>
      </c>
      <c r="L134">
        <f>IFERROR(VLOOKUP(BikeData[[#This Row],[Intents]],[1]!Table2[#Data],3,FALSE),"")</f>
        <v>0.51</v>
      </c>
      <c r="M134">
        <f>IFERROR(VLOOKUP(BikeData[[#This Row],[Intents]],[1]!Table2[#Data],4,FALSE),"")</f>
        <v>0.1343</v>
      </c>
      <c r="N134">
        <f>IFERROR(VLOOKUP(BikeData[[#This Row],[Intents]],[1]!Table2[#Data],5,FALSE),"")</f>
        <v>5</v>
      </c>
      <c r="O134">
        <f>IFERROR(VLOOKUP(BikeData[[#This Row],[Intents]],[1]!Table2[#Data],6,FALSE),"")</f>
        <v>158</v>
      </c>
      <c r="P134">
        <f>IFERROR(VLOOKUP(BikeData[[#This Row],[Intents]],[1]!Table2[#Data],7,FALSE),"")</f>
        <v>163</v>
      </c>
      <c r="Q134" s="2" t="str">
        <f>CHOOSE(BikeData[[#This Row],[Season]],"Spring","Summer","Fall","Winter")</f>
        <v>Spring</v>
      </c>
      <c r="R134" s="2" t="str">
        <f>CHOOSE(BikeData[[#This Row],[Weathersituation]],"Clear","Mist","Light Rain","Heavy Rain")</f>
        <v>Clear</v>
      </c>
      <c r="S134" s="2" t="str">
        <f>TEXT(BikeData[[#This Row],[Date]],"mmm")</f>
        <v>Jan</v>
      </c>
    </row>
    <row r="135" spans="1:19" x14ac:dyDescent="0.3">
      <c r="A135">
        <v>134</v>
      </c>
      <c r="B135" s="5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 s="6">
        <f>BikeData[[#This Row],[Temperature]]</f>
        <v>0.22</v>
      </c>
      <c r="L135">
        <f>IFERROR(VLOOKUP(BikeData[[#This Row],[Intents]],[1]!Table2[#Data],3,FALSE),"")</f>
        <v>0.55000000000000004</v>
      </c>
      <c r="M135">
        <f>IFERROR(VLOOKUP(BikeData[[#This Row],[Intents]],[1]!Table2[#Data],4,FALSE),"")</f>
        <v>8.9599999999999999E-2</v>
      </c>
      <c r="N135">
        <f>IFERROR(VLOOKUP(BikeData[[#This Row],[Intents]],[1]!Table2[#Data],5,FALSE),"")</f>
        <v>3</v>
      </c>
      <c r="O135">
        <f>IFERROR(VLOOKUP(BikeData[[#This Row],[Intents]],[1]!Table2[#Data],6,FALSE),"")</f>
        <v>109</v>
      </c>
      <c r="P135">
        <f>IFERROR(VLOOKUP(BikeData[[#This Row],[Intents]],[1]!Table2[#Data],7,FALSE),"")</f>
        <v>112</v>
      </c>
      <c r="Q135" s="2" t="str">
        <f>CHOOSE(BikeData[[#This Row],[Season]],"Spring","Summer","Fall","Winter")</f>
        <v>Spring</v>
      </c>
      <c r="R135" s="2" t="str">
        <f>CHOOSE(BikeData[[#This Row],[Weathersituation]],"Clear","Mist","Light Rain","Heavy Rain")</f>
        <v>Clear</v>
      </c>
      <c r="S135" s="2" t="str">
        <f>TEXT(BikeData[[#This Row],[Date]],"mmm")</f>
        <v>Jan</v>
      </c>
    </row>
    <row r="136" spans="1:19" x14ac:dyDescent="0.3">
      <c r="A136">
        <v>135</v>
      </c>
      <c r="B136" s="5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 s="6">
        <f>BikeData[[#This Row],[Temperature]]</f>
        <v>0.2</v>
      </c>
      <c r="L136">
        <f>IFERROR(VLOOKUP(BikeData[[#This Row],[Intents]],[1]!Table2[#Data],3,FALSE),"")</f>
        <v>0.51</v>
      </c>
      <c r="M136">
        <f>IFERROR(VLOOKUP(BikeData[[#This Row],[Intents]],[1]!Table2[#Data],4,FALSE),"")</f>
        <v>0.16420000000000001</v>
      </c>
      <c r="N136">
        <f>IFERROR(VLOOKUP(BikeData[[#This Row],[Intents]],[1]!Table2[#Data],5,FALSE),"")</f>
        <v>3</v>
      </c>
      <c r="O136">
        <f>IFERROR(VLOOKUP(BikeData[[#This Row],[Intents]],[1]!Table2[#Data],6,FALSE),"")</f>
        <v>66</v>
      </c>
      <c r="P136">
        <f>IFERROR(VLOOKUP(BikeData[[#This Row],[Intents]],[1]!Table2[#Data],7,FALSE),"")</f>
        <v>69</v>
      </c>
      <c r="Q136" s="2" t="str">
        <f>CHOOSE(BikeData[[#This Row],[Season]],"Spring","Summer","Fall","Winter")</f>
        <v>Spring</v>
      </c>
      <c r="R136" s="2" t="str">
        <f>CHOOSE(BikeData[[#This Row],[Weathersituation]],"Clear","Mist","Light Rain","Heavy Rain")</f>
        <v>Clear</v>
      </c>
      <c r="S136" s="2" t="str">
        <f>TEXT(BikeData[[#This Row],[Date]],"mmm")</f>
        <v>Jan</v>
      </c>
    </row>
    <row r="137" spans="1:19" x14ac:dyDescent="0.3">
      <c r="A137">
        <v>136</v>
      </c>
      <c r="B137" s="5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 s="6">
        <f>BikeData[[#This Row],[Temperature]]</f>
        <v>0.22</v>
      </c>
      <c r="L137">
        <f>IFERROR(VLOOKUP(BikeData[[#This Row],[Intents]],[1]!Table2[#Data],3,FALSE),"")</f>
        <v>0.55000000000000004</v>
      </c>
      <c r="M137">
        <f>IFERROR(VLOOKUP(BikeData[[#This Row],[Intents]],[1]!Table2[#Data],4,FALSE),"")</f>
        <v>0.22389999999999999</v>
      </c>
      <c r="N137">
        <f>IFERROR(VLOOKUP(BikeData[[#This Row],[Intents]],[1]!Table2[#Data],5,FALSE),"")</f>
        <v>0</v>
      </c>
      <c r="O137">
        <f>IFERROR(VLOOKUP(BikeData[[#This Row],[Intents]],[1]!Table2[#Data],6,FALSE),"")</f>
        <v>48</v>
      </c>
      <c r="P137">
        <f>IFERROR(VLOOKUP(BikeData[[#This Row],[Intents]],[1]!Table2[#Data],7,FALSE),"")</f>
        <v>48</v>
      </c>
      <c r="Q137" s="2" t="str">
        <f>CHOOSE(BikeData[[#This Row],[Season]],"Spring","Summer","Fall","Winter")</f>
        <v>Spring</v>
      </c>
      <c r="R137" s="2" t="str">
        <f>CHOOSE(BikeData[[#This Row],[Weathersituation]],"Clear","Mist","Light Rain","Heavy Rain")</f>
        <v>Mist</v>
      </c>
      <c r="S137" s="2" t="str">
        <f>TEXT(BikeData[[#This Row],[Date]],"mmm")</f>
        <v>Jan</v>
      </c>
    </row>
    <row r="138" spans="1:19" x14ac:dyDescent="0.3">
      <c r="A138">
        <v>137</v>
      </c>
      <c r="B138" s="5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 s="6">
        <f>BikeData[[#This Row],[Temperature]]</f>
        <v>0.22</v>
      </c>
      <c r="L138">
        <f>IFERROR(VLOOKUP(BikeData[[#This Row],[Intents]],[1]!Table2[#Data],3,FALSE),"")</f>
        <v>0.51</v>
      </c>
      <c r="M138">
        <f>IFERROR(VLOOKUP(BikeData[[#This Row],[Intents]],[1]!Table2[#Data],4,FALSE),"")</f>
        <v>0.28360000000000002</v>
      </c>
      <c r="N138">
        <f>IFERROR(VLOOKUP(BikeData[[#This Row],[Intents]],[1]!Table2[#Data],5,FALSE),"")</f>
        <v>1</v>
      </c>
      <c r="O138">
        <f>IFERROR(VLOOKUP(BikeData[[#This Row],[Intents]],[1]!Table2[#Data],6,FALSE),"")</f>
        <v>51</v>
      </c>
      <c r="P138">
        <f>IFERROR(VLOOKUP(BikeData[[#This Row],[Intents]],[1]!Table2[#Data],7,FALSE),"")</f>
        <v>52</v>
      </c>
      <c r="Q138" s="2" t="str">
        <f>CHOOSE(BikeData[[#This Row],[Season]],"Spring","Summer","Fall","Winter")</f>
        <v>Spring</v>
      </c>
      <c r="R138" s="2" t="str">
        <f>CHOOSE(BikeData[[#This Row],[Weathersituation]],"Clear","Mist","Light Rain","Heavy Rain")</f>
        <v>Mist</v>
      </c>
      <c r="S138" s="2" t="str">
        <f>TEXT(BikeData[[#This Row],[Date]],"mmm")</f>
        <v>Jan</v>
      </c>
    </row>
    <row r="139" spans="1:19" x14ac:dyDescent="0.3">
      <c r="A139">
        <v>138</v>
      </c>
      <c r="B139" s="5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 s="6">
        <f>BikeData[[#This Row],[Temperature]]</f>
        <v>0.2</v>
      </c>
      <c r="L139">
        <f>IFERROR(VLOOKUP(BikeData[[#This Row],[Intents]],[1]!Table2[#Data],3,FALSE),"")</f>
        <v>0.59</v>
      </c>
      <c r="M139">
        <f>IFERROR(VLOOKUP(BikeData[[#This Row],[Intents]],[1]!Table2[#Data],4,FALSE),"")</f>
        <v>0.19400000000000001</v>
      </c>
      <c r="N139">
        <f>IFERROR(VLOOKUP(BikeData[[#This Row],[Intents]],[1]!Table2[#Data],5,FALSE),"")</f>
        <v>4</v>
      </c>
      <c r="O139">
        <f>IFERROR(VLOOKUP(BikeData[[#This Row],[Intents]],[1]!Table2[#Data],6,FALSE),"")</f>
        <v>19</v>
      </c>
      <c r="P139">
        <f>IFERROR(VLOOKUP(BikeData[[#This Row],[Intents]],[1]!Table2[#Data],7,FALSE),"")</f>
        <v>23</v>
      </c>
      <c r="Q139" s="2" t="str">
        <f>CHOOSE(BikeData[[#This Row],[Season]],"Spring","Summer","Fall","Winter")</f>
        <v>Spring</v>
      </c>
      <c r="R139" s="2" t="str">
        <f>CHOOSE(BikeData[[#This Row],[Weathersituation]],"Clear","Mist","Light Rain","Heavy Rain")</f>
        <v>Mist</v>
      </c>
      <c r="S139" s="2" t="str">
        <f>TEXT(BikeData[[#This Row],[Date]],"mmm")</f>
        <v>Jan</v>
      </c>
    </row>
    <row r="140" spans="1:19" x14ac:dyDescent="0.3">
      <c r="A140">
        <v>139</v>
      </c>
      <c r="B140" s="5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 s="6">
        <f>BikeData[[#This Row],[Temperature]]</f>
        <v>0.2</v>
      </c>
      <c r="L140">
        <f>IFERROR(VLOOKUP(BikeData[[#This Row],[Intents]],[1]!Table2[#Data],3,FALSE),"")</f>
        <v>0.64</v>
      </c>
      <c r="M140">
        <f>IFERROR(VLOOKUP(BikeData[[#This Row],[Intents]],[1]!Table2[#Data],4,FALSE),"")</f>
        <v>0.19400000000000001</v>
      </c>
      <c r="N140">
        <f>IFERROR(VLOOKUP(BikeData[[#This Row],[Intents]],[1]!Table2[#Data],5,FALSE),"")</f>
        <v>4</v>
      </c>
      <c r="O140">
        <f>IFERROR(VLOOKUP(BikeData[[#This Row],[Intents]],[1]!Table2[#Data],6,FALSE),"")</f>
        <v>13</v>
      </c>
      <c r="P140">
        <f>IFERROR(VLOOKUP(BikeData[[#This Row],[Intents]],[1]!Table2[#Data],7,FALSE),"")</f>
        <v>17</v>
      </c>
      <c r="Q140" s="2" t="str">
        <f>CHOOSE(BikeData[[#This Row],[Season]],"Spring","Summer","Fall","Winter")</f>
        <v>Spring</v>
      </c>
      <c r="R140" s="2" t="str">
        <f>CHOOSE(BikeData[[#This Row],[Weathersituation]],"Clear","Mist","Light Rain","Heavy Rain")</f>
        <v>Mist</v>
      </c>
      <c r="S140" s="2" t="str">
        <f>TEXT(BikeData[[#This Row],[Date]],"mmm")</f>
        <v>Jan</v>
      </c>
    </row>
    <row r="141" spans="1:19" x14ac:dyDescent="0.3">
      <c r="A141">
        <v>140</v>
      </c>
      <c r="B141" s="5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 s="6">
        <f>BikeData[[#This Row],[Temperature]]</f>
        <v>0.2</v>
      </c>
      <c r="L141">
        <f>IFERROR(VLOOKUP(BikeData[[#This Row],[Intents]],[1]!Table2[#Data],3,FALSE),"")</f>
        <v>0.69</v>
      </c>
      <c r="M141">
        <f>IFERROR(VLOOKUP(BikeData[[#This Row],[Intents]],[1]!Table2[#Data],4,FALSE),"")</f>
        <v>0.22389999999999999</v>
      </c>
      <c r="N141">
        <f>IFERROR(VLOOKUP(BikeData[[#This Row],[Intents]],[1]!Table2[#Data],5,FALSE),"")</f>
        <v>2</v>
      </c>
      <c r="O141">
        <f>IFERROR(VLOOKUP(BikeData[[#This Row],[Intents]],[1]!Table2[#Data],6,FALSE),"")</f>
        <v>5</v>
      </c>
      <c r="P141">
        <f>IFERROR(VLOOKUP(BikeData[[#This Row],[Intents]],[1]!Table2[#Data],7,FALSE),"")</f>
        <v>7</v>
      </c>
      <c r="Q141" s="2" t="str">
        <f>CHOOSE(BikeData[[#This Row],[Season]],"Spring","Summer","Fall","Winter")</f>
        <v>Spring</v>
      </c>
      <c r="R141" s="2" t="str">
        <f>CHOOSE(BikeData[[#This Row],[Weathersituation]],"Clear","Mist","Light Rain","Heavy Rain")</f>
        <v>Mist</v>
      </c>
      <c r="S141" s="2" t="str">
        <f>TEXT(BikeData[[#This Row],[Date]],"mmm")</f>
        <v>Jan</v>
      </c>
    </row>
    <row r="142" spans="1:19" x14ac:dyDescent="0.3">
      <c r="A142">
        <v>141</v>
      </c>
      <c r="B142" s="5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 s="6">
        <f>BikeData[[#This Row],[Temperature]]</f>
        <v>0.2</v>
      </c>
      <c r="L142">
        <f>IFERROR(VLOOKUP(BikeData[[#This Row],[Intents]],[1]!Table2[#Data],3,FALSE),"")</f>
        <v>0.69</v>
      </c>
      <c r="M142">
        <f>IFERROR(VLOOKUP(BikeData[[#This Row],[Intents]],[1]!Table2[#Data],4,FALSE),"")</f>
        <v>0.22389999999999999</v>
      </c>
      <c r="N142">
        <f>IFERROR(VLOOKUP(BikeData[[#This Row],[Intents]],[1]!Table2[#Data],5,FALSE),"")</f>
        <v>0</v>
      </c>
      <c r="O142">
        <f>IFERROR(VLOOKUP(BikeData[[#This Row],[Intents]],[1]!Table2[#Data],6,FALSE),"")</f>
        <v>1</v>
      </c>
      <c r="P142">
        <f>IFERROR(VLOOKUP(BikeData[[#This Row],[Intents]],[1]!Table2[#Data],7,FALSE),"")</f>
        <v>1</v>
      </c>
      <c r="Q142" s="2" t="str">
        <f>CHOOSE(BikeData[[#This Row],[Season]],"Spring","Summer","Fall","Winter")</f>
        <v>Spring</v>
      </c>
      <c r="R142" s="2" t="str">
        <f>CHOOSE(BikeData[[#This Row],[Weathersituation]],"Clear","Mist","Light Rain","Heavy Rain")</f>
        <v>Mist</v>
      </c>
      <c r="S142" s="2" t="str">
        <f>TEXT(BikeData[[#This Row],[Date]],"mmm")</f>
        <v>Jan</v>
      </c>
    </row>
    <row r="143" spans="1:19" x14ac:dyDescent="0.3">
      <c r="A143">
        <v>142</v>
      </c>
      <c r="B143" s="5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 s="6">
        <f>BikeData[[#This Row],[Temperature]]</f>
        <v>0.2</v>
      </c>
      <c r="L143">
        <f>IFERROR(VLOOKUP(BikeData[[#This Row],[Intents]],[1]!Table2[#Data],3,FALSE),"")</f>
        <v>0.69</v>
      </c>
      <c r="M143">
        <f>IFERROR(VLOOKUP(BikeData[[#This Row],[Intents]],[1]!Table2[#Data],4,FALSE),"")</f>
        <v>0.1343</v>
      </c>
      <c r="N143">
        <f>IFERROR(VLOOKUP(BikeData[[#This Row],[Intents]],[1]!Table2[#Data],5,FALSE),"")</f>
        <v>0</v>
      </c>
      <c r="O143">
        <f>IFERROR(VLOOKUP(BikeData[[#This Row],[Intents]],[1]!Table2[#Data],6,FALSE),"")</f>
        <v>1</v>
      </c>
      <c r="P143">
        <f>IFERROR(VLOOKUP(BikeData[[#This Row],[Intents]],[1]!Table2[#Data],7,FALSE),"")</f>
        <v>1</v>
      </c>
      <c r="Q143" s="2" t="str">
        <f>CHOOSE(BikeData[[#This Row],[Season]],"Spring","Summer","Fall","Winter")</f>
        <v>Spring</v>
      </c>
      <c r="R143" s="2" t="str">
        <f>CHOOSE(BikeData[[#This Row],[Weathersituation]],"Clear","Mist","Light Rain","Heavy Rain")</f>
        <v>Mist</v>
      </c>
      <c r="S143" s="2" t="str">
        <f>TEXT(BikeData[[#This Row],[Date]],"mmm")</f>
        <v>Jan</v>
      </c>
    </row>
    <row r="144" spans="1:19" x14ac:dyDescent="0.3">
      <c r="A144">
        <v>143</v>
      </c>
      <c r="B144" s="5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 s="6">
        <f>BikeData[[#This Row],[Temperature]]</f>
        <v>0.22</v>
      </c>
      <c r="L144">
        <f>IFERROR(VLOOKUP(BikeData[[#This Row],[Intents]],[1]!Table2[#Data],3,FALSE),"")</f>
        <v>0.55000000000000004</v>
      </c>
      <c r="M144">
        <f>IFERROR(VLOOKUP(BikeData[[#This Row],[Intents]],[1]!Table2[#Data],4,FALSE),"")</f>
        <v>0</v>
      </c>
      <c r="N144">
        <f>IFERROR(VLOOKUP(BikeData[[#This Row],[Intents]],[1]!Table2[#Data],5,FALSE),"")</f>
        <v>0</v>
      </c>
      <c r="O144">
        <f>IFERROR(VLOOKUP(BikeData[[#This Row],[Intents]],[1]!Table2[#Data],6,FALSE),"")</f>
        <v>5</v>
      </c>
      <c r="P144">
        <f>IFERROR(VLOOKUP(BikeData[[#This Row],[Intents]],[1]!Table2[#Data],7,FALSE),"")</f>
        <v>5</v>
      </c>
      <c r="Q144" s="2" t="str">
        <f>CHOOSE(BikeData[[#This Row],[Season]],"Spring","Summer","Fall","Winter")</f>
        <v>Spring</v>
      </c>
      <c r="R144" s="2" t="str">
        <f>CHOOSE(BikeData[[#This Row],[Weathersituation]],"Clear","Mist","Light Rain","Heavy Rain")</f>
        <v>Light Rain</v>
      </c>
      <c r="S144" s="2" t="str">
        <f>TEXT(BikeData[[#This Row],[Date]],"mmm")</f>
        <v>Jan</v>
      </c>
    </row>
    <row r="145" spans="1:19" x14ac:dyDescent="0.3">
      <c r="A145">
        <v>144</v>
      </c>
      <c r="B145" s="5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 s="6">
        <f>BikeData[[#This Row],[Temperature]]</f>
        <v>0.2</v>
      </c>
      <c r="L145">
        <f>IFERROR(VLOOKUP(BikeData[[#This Row],[Intents]],[1]!Table2[#Data],3,FALSE),"")</f>
        <v>0.69</v>
      </c>
      <c r="M145">
        <f>IFERROR(VLOOKUP(BikeData[[#This Row],[Intents]],[1]!Table2[#Data],4,FALSE),"")</f>
        <v>0</v>
      </c>
      <c r="N145">
        <f>IFERROR(VLOOKUP(BikeData[[#This Row],[Intents]],[1]!Table2[#Data],5,FALSE),"")</f>
        <v>8</v>
      </c>
      <c r="O145">
        <f>IFERROR(VLOOKUP(BikeData[[#This Row],[Intents]],[1]!Table2[#Data],6,FALSE),"")</f>
        <v>26</v>
      </c>
      <c r="P145">
        <f>IFERROR(VLOOKUP(BikeData[[#This Row],[Intents]],[1]!Table2[#Data],7,FALSE),"")</f>
        <v>34</v>
      </c>
      <c r="Q145" s="2" t="str">
        <f>CHOOSE(BikeData[[#This Row],[Season]],"Spring","Summer","Fall","Winter")</f>
        <v>Spring</v>
      </c>
      <c r="R145" s="2" t="str">
        <f>CHOOSE(BikeData[[#This Row],[Weathersituation]],"Clear","Mist","Light Rain","Heavy Rain")</f>
        <v>Mist</v>
      </c>
      <c r="S145" s="2" t="str">
        <f>TEXT(BikeData[[#This Row],[Date]],"mmm")</f>
        <v>Jan</v>
      </c>
    </row>
    <row r="146" spans="1:19" x14ac:dyDescent="0.3">
      <c r="A146">
        <v>145</v>
      </c>
      <c r="B146" s="5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 s="6">
        <f>BikeData[[#This Row],[Temperature]]</f>
        <v>0.2</v>
      </c>
      <c r="L146">
        <f>IFERROR(VLOOKUP(BikeData[[#This Row],[Intents]],[1]!Table2[#Data],3,FALSE),"")</f>
        <v>0.69</v>
      </c>
      <c r="M146">
        <f>IFERROR(VLOOKUP(BikeData[[#This Row],[Intents]],[1]!Table2[#Data],4,FALSE),"")</f>
        <v>0.1343</v>
      </c>
      <c r="N146">
        <f>IFERROR(VLOOKUP(BikeData[[#This Row],[Intents]],[1]!Table2[#Data],5,FALSE),"")</f>
        <v>8</v>
      </c>
      <c r="O146">
        <f>IFERROR(VLOOKUP(BikeData[[#This Row],[Intents]],[1]!Table2[#Data],6,FALSE),"")</f>
        <v>76</v>
      </c>
      <c r="P146">
        <f>IFERROR(VLOOKUP(BikeData[[#This Row],[Intents]],[1]!Table2[#Data],7,FALSE),"")</f>
        <v>84</v>
      </c>
      <c r="Q146" s="2" t="str">
        <f>CHOOSE(BikeData[[#This Row],[Season]],"Spring","Summer","Fall","Winter")</f>
        <v>Spring</v>
      </c>
      <c r="R146" s="2" t="str">
        <f>CHOOSE(BikeData[[#This Row],[Weathersituation]],"Clear","Mist","Light Rain","Heavy Rain")</f>
        <v>Clear</v>
      </c>
      <c r="S146" s="2" t="str">
        <f>TEXT(BikeData[[#This Row],[Date]],"mmm")</f>
        <v>Jan</v>
      </c>
    </row>
    <row r="147" spans="1:19" x14ac:dyDescent="0.3">
      <c r="A147">
        <v>146</v>
      </c>
      <c r="B147" s="5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 s="6">
        <f>BikeData[[#This Row],[Temperature]]</f>
        <v>0.2</v>
      </c>
      <c r="L147">
        <f>IFERROR(VLOOKUP(BikeData[[#This Row],[Intents]],[1]!Table2[#Data],3,FALSE),"")</f>
        <v>0.51</v>
      </c>
      <c r="M147">
        <f>IFERROR(VLOOKUP(BikeData[[#This Row],[Intents]],[1]!Table2[#Data],4,FALSE),"")</f>
        <v>0.25369999999999998</v>
      </c>
      <c r="N147">
        <f>IFERROR(VLOOKUP(BikeData[[#This Row],[Intents]],[1]!Table2[#Data],5,FALSE),"")</f>
        <v>20</v>
      </c>
      <c r="O147">
        <f>IFERROR(VLOOKUP(BikeData[[#This Row],[Intents]],[1]!Table2[#Data],6,FALSE),"")</f>
        <v>190</v>
      </c>
      <c r="P147">
        <f>IFERROR(VLOOKUP(BikeData[[#This Row],[Intents]],[1]!Table2[#Data],7,FALSE),"")</f>
        <v>210</v>
      </c>
      <c r="Q147" s="2" t="str">
        <f>CHOOSE(BikeData[[#This Row],[Season]],"Spring","Summer","Fall","Winter")</f>
        <v>Spring</v>
      </c>
      <c r="R147" s="2" t="str">
        <f>CHOOSE(BikeData[[#This Row],[Weathersituation]],"Clear","Mist","Light Rain","Heavy Rain")</f>
        <v>Clear</v>
      </c>
      <c r="S147" s="2" t="str">
        <f>TEXT(BikeData[[#This Row],[Date]],"mmm")</f>
        <v>Jan</v>
      </c>
    </row>
    <row r="148" spans="1:19" x14ac:dyDescent="0.3">
      <c r="A148">
        <v>147</v>
      </c>
      <c r="B148" s="5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 s="6">
        <f>BikeData[[#This Row],[Temperature]]</f>
        <v>0.2</v>
      </c>
      <c r="L148">
        <f>IFERROR(VLOOKUP(BikeData[[#This Row],[Intents]],[1]!Table2[#Data],3,FALSE),"")</f>
        <v>0.47</v>
      </c>
      <c r="M148">
        <f>IFERROR(VLOOKUP(BikeData[[#This Row],[Intents]],[1]!Table2[#Data],4,FALSE),"")</f>
        <v>0.29849999999999999</v>
      </c>
      <c r="N148">
        <f>IFERROR(VLOOKUP(BikeData[[#This Row],[Intents]],[1]!Table2[#Data],5,FALSE),"")</f>
        <v>9</v>
      </c>
      <c r="O148">
        <f>IFERROR(VLOOKUP(BikeData[[#This Row],[Intents]],[1]!Table2[#Data],6,FALSE),"")</f>
        <v>125</v>
      </c>
      <c r="P148">
        <f>IFERROR(VLOOKUP(BikeData[[#This Row],[Intents]],[1]!Table2[#Data],7,FALSE),"")</f>
        <v>134</v>
      </c>
      <c r="Q148" s="2" t="str">
        <f>CHOOSE(BikeData[[#This Row],[Season]],"Spring","Summer","Fall","Winter")</f>
        <v>Spring</v>
      </c>
      <c r="R148" s="2" t="str">
        <f>CHOOSE(BikeData[[#This Row],[Weathersituation]],"Clear","Mist","Light Rain","Heavy Rain")</f>
        <v>Clear</v>
      </c>
      <c r="S148" s="2" t="str">
        <f>TEXT(BikeData[[#This Row],[Date]],"mmm")</f>
        <v>Jan</v>
      </c>
    </row>
    <row r="149" spans="1:19" x14ac:dyDescent="0.3">
      <c r="A149">
        <v>148</v>
      </c>
      <c r="B149" s="5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 s="6">
        <f>BikeData[[#This Row],[Temperature]]</f>
        <v>0.22</v>
      </c>
      <c r="L149">
        <f>IFERROR(VLOOKUP(BikeData[[#This Row],[Intents]],[1]!Table2[#Data],3,FALSE),"")</f>
        <v>0.37</v>
      </c>
      <c r="M149">
        <f>IFERROR(VLOOKUP(BikeData[[#This Row],[Intents]],[1]!Table2[#Data],4,FALSE),"")</f>
        <v>0.32840000000000003</v>
      </c>
      <c r="N149">
        <f>IFERROR(VLOOKUP(BikeData[[#This Row],[Intents]],[1]!Table2[#Data],5,FALSE),"")</f>
        <v>16</v>
      </c>
      <c r="O149">
        <f>IFERROR(VLOOKUP(BikeData[[#This Row],[Intents]],[1]!Table2[#Data],6,FALSE),"")</f>
        <v>47</v>
      </c>
      <c r="P149">
        <f>IFERROR(VLOOKUP(BikeData[[#This Row],[Intents]],[1]!Table2[#Data],7,FALSE),"")</f>
        <v>63</v>
      </c>
      <c r="Q149" s="2" t="str">
        <f>CHOOSE(BikeData[[#This Row],[Season]],"Spring","Summer","Fall","Winter")</f>
        <v>Spring</v>
      </c>
      <c r="R149" s="2" t="str">
        <f>CHOOSE(BikeData[[#This Row],[Weathersituation]],"Clear","Mist","Light Rain","Heavy Rain")</f>
        <v>Clear</v>
      </c>
      <c r="S149" s="2" t="str">
        <f>TEXT(BikeData[[#This Row],[Date]],"mmm")</f>
        <v>Jan</v>
      </c>
    </row>
    <row r="150" spans="1:19" x14ac:dyDescent="0.3">
      <c r="A150">
        <v>149</v>
      </c>
      <c r="B150" s="5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 s="6">
        <f>BikeData[[#This Row],[Temperature]]</f>
        <v>0.2</v>
      </c>
      <c r="L150">
        <f>IFERROR(VLOOKUP(BikeData[[#This Row],[Intents]],[1]!Table2[#Data],3,FALSE),"")</f>
        <v>0.4</v>
      </c>
      <c r="M150">
        <f>IFERROR(VLOOKUP(BikeData[[#This Row],[Intents]],[1]!Table2[#Data],4,FALSE),"")</f>
        <v>0.22389999999999999</v>
      </c>
      <c r="N150">
        <f>IFERROR(VLOOKUP(BikeData[[#This Row],[Intents]],[1]!Table2[#Data],5,FALSE),"")</f>
        <v>19</v>
      </c>
      <c r="O150">
        <f>IFERROR(VLOOKUP(BikeData[[#This Row],[Intents]],[1]!Table2[#Data],6,FALSE),"")</f>
        <v>48</v>
      </c>
      <c r="P150">
        <f>IFERROR(VLOOKUP(BikeData[[#This Row],[Intents]],[1]!Table2[#Data],7,FALSE),"")</f>
        <v>67</v>
      </c>
      <c r="Q150" s="2" t="str">
        <f>CHOOSE(BikeData[[#This Row],[Season]],"Spring","Summer","Fall","Winter")</f>
        <v>Spring</v>
      </c>
      <c r="R150" s="2" t="str">
        <f>CHOOSE(BikeData[[#This Row],[Weathersituation]],"Clear","Mist","Light Rain","Heavy Rain")</f>
        <v>Mist</v>
      </c>
      <c r="S150" s="2" t="str">
        <f>TEXT(BikeData[[#This Row],[Date]],"mmm")</f>
        <v>Jan</v>
      </c>
    </row>
    <row r="151" spans="1:19" x14ac:dyDescent="0.3">
      <c r="A151">
        <v>150</v>
      </c>
      <c r="B151" s="5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 s="6">
        <f>BikeData[[#This Row],[Temperature]]</f>
        <v>0.2</v>
      </c>
      <c r="L151">
        <f>IFERROR(VLOOKUP(BikeData[[#This Row],[Intents]],[1]!Table2[#Data],3,FALSE),"")</f>
        <v>0.37</v>
      </c>
      <c r="M151">
        <f>IFERROR(VLOOKUP(BikeData[[#This Row],[Intents]],[1]!Table2[#Data],4,FALSE),"")</f>
        <v>0.25369999999999998</v>
      </c>
      <c r="N151">
        <f>IFERROR(VLOOKUP(BikeData[[#This Row],[Intents]],[1]!Table2[#Data],5,FALSE),"")</f>
        <v>9</v>
      </c>
      <c r="O151">
        <f>IFERROR(VLOOKUP(BikeData[[#This Row],[Intents]],[1]!Table2[#Data],6,FALSE),"")</f>
        <v>50</v>
      </c>
      <c r="P151">
        <f>IFERROR(VLOOKUP(BikeData[[#This Row],[Intents]],[1]!Table2[#Data],7,FALSE),"")</f>
        <v>59</v>
      </c>
      <c r="Q151" s="2" t="str">
        <f>CHOOSE(BikeData[[#This Row],[Season]],"Spring","Summer","Fall","Winter")</f>
        <v>Spring</v>
      </c>
      <c r="R151" s="2" t="str">
        <f>CHOOSE(BikeData[[#This Row],[Weathersituation]],"Clear","Mist","Light Rain","Heavy Rain")</f>
        <v>Mist</v>
      </c>
      <c r="S151" s="2" t="str">
        <f>TEXT(BikeData[[#This Row],[Date]],"mmm")</f>
        <v>Jan</v>
      </c>
    </row>
    <row r="152" spans="1:19" x14ac:dyDescent="0.3">
      <c r="A152">
        <v>151</v>
      </c>
      <c r="B152" s="5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 s="6">
        <f>BikeData[[#This Row],[Temperature]]</f>
        <v>0.2</v>
      </c>
      <c r="L152">
        <f>IFERROR(VLOOKUP(BikeData[[#This Row],[Intents]],[1]!Table2[#Data],3,FALSE),"")</f>
        <v>0.37</v>
      </c>
      <c r="M152">
        <f>IFERROR(VLOOKUP(BikeData[[#This Row],[Intents]],[1]!Table2[#Data],4,FALSE),"")</f>
        <v>0.28360000000000002</v>
      </c>
      <c r="N152">
        <f>IFERROR(VLOOKUP(BikeData[[#This Row],[Intents]],[1]!Table2[#Data],5,FALSE),"")</f>
        <v>9</v>
      </c>
      <c r="O152">
        <f>IFERROR(VLOOKUP(BikeData[[#This Row],[Intents]],[1]!Table2[#Data],6,FALSE),"")</f>
        <v>64</v>
      </c>
      <c r="P152">
        <f>IFERROR(VLOOKUP(BikeData[[#This Row],[Intents]],[1]!Table2[#Data],7,FALSE),"")</f>
        <v>73</v>
      </c>
      <c r="Q152" s="2" t="str">
        <f>CHOOSE(BikeData[[#This Row],[Season]],"Spring","Summer","Fall","Winter")</f>
        <v>Spring</v>
      </c>
      <c r="R152" s="2" t="str">
        <f>CHOOSE(BikeData[[#This Row],[Weathersituation]],"Clear","Mist","Light Rain","Heavy Rain")</f>
        <v>Mist</v>
      </c>
      <c r="S152" s="2" t="str">
        <f>TEXT(BikeData[[#This Row],[Date]],"mmm")</f>
        <v>Jan</v>
      </c>
    </row>
    <row r="153" spans="1:19" x14ac:dyDescent="0.3">
      <c r="A153">
        <v>152</v>
      </c>
      <c r="B153" s="5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 s="6">
        <f>BikeData[[#This Row],[Temperature]]</f>
        <v>0.2</v>
      </c>
      <c r="L153">
        <f>IFERROR(VLOOKUP(BikeData[[#This Row],[Intents]],[1]!Table2[#Data],3,FALSE),"")</f>
        <v>0.4</v>
      </c>
      <c r="M153">
        <f>IFERROR(VLOOKUP(BikeData[[#This Row],[Intents]],[1]!Table2[#Data],4,FALSE),"")</f>
        <v>0.25369999999999998</v>
      </c>
      <c r="N153">
        <f>IFERROR(VLOOKUP(BikeData[[#This Row],[Intents]],[1]!Table2[#Data],5,FALSE),"")</f>
        <v>7</v>
      </c>
      <c r="O153">
        <f>IFERROR(VLOOKUP(BikeData[[#This Row],[Intents]],[1]!Table2[#Data],6,FALSE),"")</f>
        <v>43</v>
      </c>
      <c r="P153">
        <f>IFERROR(VLOOKUP(BikeData[[#This Row],[Intents]],[1]!Table2[#Data],7,FALSE),"")</f>
        <v>50</v>
      </c>
      <c r="Q153" s="2" t="str">
        <f>CHOOSE(BikeData[[#This Row],[Season]],"Spring","Summer","Fall","Winter")</f>
        <v>Spring</v>
      </c>
      <c r="R153" s="2" t="str">
        <f>CHOOSE(BikeData[[#This Row],[Weathersituation]],"Clear","Mist","Light Rain","Heavy Rain")</f>
        <v>Mist</v>
      </c>
      <c r="S153" s="2" t="str">
        <f>TEXT(BikeData[[#This Row],[Date]],"mmm")</f>
        <v>Jan</v>
      </c>
    </row>
    <row r="154" spans="1:19" x14ac:dyDescent="0.3">
      <c r="A154">
        <v>153</v>
      </c>
      <c r="B154" s="5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 s="6">
        <f>BikeData[[#This Row],[Temperature]]</f>
        <v>0.2</v>
      </c>
      <c r="L154">
        <f>IFERROR(VLOOKUP(BikeData[[#This Row],[Intents]],[1]!Table2[#Data],3,FALSE),"")</f>
        <v>0.37</v>
      </c>
      <c r="M154">
        <f>IFERROR(VLOOKUP(BikeData[[#This Row],[Intents]],[1]!Table2[#Data],4,FALSE),"")</f>
        <v>0.16420000000000001</v>
      </c>
      <c r="N154">
        <f>IFERROR(VLOOKUP(BikeData[[#This Row],[Intents]],[1]!Table2[#Data],5,FALSE),"")</f>
        <v>9</v>
      </c>
      <c r="O154">
        <f>IFERROR(VLOOKUP(BikeData[[#This Row],[Intents]],[1]!Table2[#Data],6,FALSE),"")</f>
        <v>63</v>
      </c>
      <c r="P154">
        <f>IFERROR(VLOOKUP(BikeData[[#This Row],[Intents]],[1]!Table2[#Data],7,FALSE),"")</f>
        <v>72</v>
      </c>
      <c r="Q154" s="2" t="str">
        <f>CHOOSE(BikeData[[#This Row],[Season]],"Spring","Summer","Fall","Winter")</f>
        <v>Spring</v>
      </c>
      <c r="R154" s="2" t="str">
        <f>CHOOSE(BikeData[[#This Row],[Weathersituation]],"Clear","Mist","Light Rain","Heavy Rain")</f>
        <v>Mist</v>
      </c>
      <c r="S154" s="2" t="str">
        <f>TEXT(BikeData[[#This Row],[Date]],"mmm")</f>
        <v>Jan</v>
      </c>
    </row>
    <row r="155" spans="1:19" x14ac:dyDescent="0.3">
      <c r="A155">
        <v>154</v>
      </c>
      <c r="B155" s="5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 s="6">
        <f>BikeData[[#This Row],[Temperature]]</f>
        <v>0.2</v>
      </c>
      <c r="L155">
        <f>IFERROR(VLOOKUP(BikeData[[#This Row],[Intents]],[1]!Table2[#Data],3,FALSE),"")</f>
        <v>0.37</v>
      </c>
      <c r="M155">
        <f>IFERROR(VLOOKUP(BikeData[[#This Row],[Intents]],[1]!Table2[#Data],4,FALSE),"")</f>
        <v>0.16420000000000001</v>
      </c>
      <c r="N155">
        <f>IFERROR(VLOOKUP(BikeData[[#This Row],[Intents]],[1]!Table2[#Data],5,FALSE),"")</f>
        <v>5</v>
      </c>
      <c r="O155">
        <f>IFERROR(VLOOKUP(BikeData[[#This Row],[Intents]],[1]!Table2[#Data],6,FALSE),"")</f>
        <v>82</v>
      </c>
      <c r="P155">
        <f>IFERROR(VLOOKUP(BikeData[[#This Row],[Intents]],[1]!Table2[#Data],7,FALSE),"")</f>
        <v>87</v>
      </c>
      <c r="Q155" s="2" t="str">
        <f>CHOOSE(BikeData[[#This Row],[Season]],"Spring","Summer","Fall","Winter")</f>
        <v>Spring</v>
      </c>
      <c r="R155" s="2" t="str">
        <f>CHOOSE(BikeData[[#This Row],[Weathersituation]],"Clear","Mist","Light Rain","Heavy Rain")</f>
        <v>Mist</v>
      </c>
      <c r="S155" s="2" t="str">
        <f>TEXT(BikeData[[#This Row],[Date]],"mmm")</f>
        <v>Jan</v>
      </c>
    </row>
    <row r="156" spans="1:19" x14ac:dyDescent="0.3">
      <c r="A156">
        <v>155</v>
      </c>
      <c r="B156" s="5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 s="6">
        <f>BikeData[[#This Row],[Temperature]]</f>
        <v>0.2</v>
      </c>
      <c r="L156">
        <f>IFERROR(VLOOKUP(BikeData[[#This Row],[Intents]],[1]!Table2[#Data],3,FALSE),"")</f>
        <v>0.37</v>
      </c>
      <c r="M156">
        <f>IFERROR(VLOOKUP(BikeData[[#This Row],[Intents]],[1]!Table2[#Data],4,FALSE),"")</f>
        <v>0</v>
      </c>
      <c r="N156">
        <f>IFERROR(VLOOKUP(BikeData[[#This Row],[Intents]],[1]!Table2[#Data],5,FALSE),"")</f>
        <v>9</v>
      </c>
      <c r="O156">
        <f>IFERROR(VLOOKUP(BikeData[[#This Row],[Intents]],[1]!Table2[#Data],6,FALSE),"")</f>
        <v>178</v>
      </c>
      <c r="P156">
        <f>IFERROR(VLOOKUP(BikeData[[#This Row],[Intents]],[1]!Table2[#Data],7,FALSE),"")</f>
        <v>187</v>
      </c>
      <c r="Q156" s="2" t="str">
        <f>CHOOSE(BikeData[[#This Row],[Season]],"Spring","Summer","Fall","Winter")</f>
        <v>Spring</v>
      </c>
      <c r="R156" s="2" t="str">
        <f>CHOOSE(BikeData[[#This Row],[Weathersituation]],"Clear","Mist","Light Rain","Heavy Rain")</f>
        <v>Mist</v>
      </c>
      <c r="S156" s="2" t="str">
        <f>TEXT(BikeData[[#This Row],[Date]],"mmm")</f>
        <v>Jan</v>
      </c>
    </row>
    <row r="157" spans="1:19" x14ac:dyDescent="0.3">
      <c r="A157">
        <v>156</v>
      </c>
      <c r="B157" s="5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 s="6">
        <f>BikeData[[#This Row],[Temperature]]</f>
        <v>0.2</v>
      </c>
      <c r="L157">
        <f>IFERROR(VLOOKUP(BikeData[[#This Row],[Intents]],[1]!Table2[#Data],3,FALSE),"")</f>
        <v>0.4</v>
      </c>
      <c r="M157">
        <f>IFERROR(VLOOKUP(BikeData[[#This Row],[Intents]],[1]!Table2[#Data],4,FALSE),"")</f>
        <v>8.9599999999999999E-2</v>
      </c>
      <c r="N157">
        <f>IFERROR(VLOOKUP(BikeData[[#This Row],[Intents]],[1]!Table2[#Data],5,FALSE),"")</f>
        <v>7</v>
      </c>
      <c r="O157">
        <f>IFERROR(VLOOKUP(BikeData[[#This Row],[Intents]],[1]!Table2[#Data],6,FALSE),"")</f>
        <v>116</v>
      </c>
      <c r="P157">
        <f>IFERROR(VLOOKUP(BikeData[[#This Row],[Intents]],[1]!Table2[#Data],7,FALSE),"")</f>
        <v>123</v>
      </c>
      <c r="Q157" s="2" t="str">
        <f>CHOOSE(BikeData[[#This Row],[Season]],"Spring","Summer","Fall","Winter")</f>
        <v>Spring</v>
      </c>
      <c r="R157" s="2" t="str">
        <f>CHOOSE(BikeData[[#This Row],[Weathersituation]],"Clear","Mist","Light Rain","Heavy Rain")</f>
        <v>Clear</v>
      </c>
      <c r="S157" s="2" t="str">
        <f>TEXT(BikeData[[#This Row],[Date]],"mmm")</f>
        <v>Jan</v>
      </c>
    </row>
    <row r="158" spans="1:19" x14ac:dyDescent="0.3">
      <c r="A158">
        <v>157</v>
      </c>
      <c r="B158" s="5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 s="6">
        <f>BikeData[[#This Row],[Temperature]]</f>
        <v>0.16</v>
      </c>
      <c r="L158">
        <f>IFERROR(VLOOKUP(BikeData[[#This Row],[Intents]],[1]!Table2[#Data],3,FALSE),"")</f>
        <v>0.55000000000000004</v>
      </c>
      <c r="M158">
        <f>IFERROR(VLOOKUP(BikeData[[#This Row],[Intents]],[1]!Table2[#Data],4,FALSE),"")</f>
        <v>8.9599999999999999E-2</v>
      </c>
      <c r="N158">
        <f>IFERROR(VLOOKUP(BikeData[[#This Row],[Intents]],[1]!Table2[#Data],5,FALSE),"")</f>
        <v>3</v>
      </c>
      <c r="O158">
        <f>IFERROR(VLOOKUP(BikeData[[#This Row],[Intents]],[1]!Table2[#Data],6,FALSE),"")</f>
        <v>92</v>
      </c>
      <c r="P158">
        <f>IFERROR(VLOOKUP(BikeData[[#This Row],[Intents]],[1]!Table2[#Data],7,FALSE),"")</f>
        <v>95</v>
      </c>
      <c r="Q158" s="2" t="str">
        <f>CHOOSE(BikeData[[#This Row],[Season]],"Spring","Summer","Fall","Winter")</f>
        <v>Spring</v>
      </c>
      <c r="R158" s="2" t="str">
        <f>CHOOSE(BikeData[[#This Row],[Weathersituation]],"Clear","Mist","Light Rain","Heavy Rain")</f>
        <v>Clear</v>
      </c>
      <c r="S158" s="2" t="str">
        <f>TEXT(BikeData[[#This Row],[Date]],"mmm")</f>
        <v>Jan</v>
      </c>
    </row>
    <row r="159" spans="1:19" x14ac:dyDescent="0.3">
      <c r="A159">
        <v>158</v>
      </c>
      <c r="B159" s="5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 s="6">
        <f>BikeData[[#This Row],[Temperature]]</f>
        <v>0.18</v>
      </c>
      <c r="L159">
        <f>IFERROR(VLOOKUP(BikeData[[#This Row],[Intents]],[1]!Table2[#Data],3,FALSE),"")</f>
        <v>0.47</v>
      </c>
      <c r="M159">
        <f>IFERROR(VLOOKUP(BikeData[[#This Row],[Intents]],[1]!Table2[#Data],4,FALSE),"")</f>
        <v>0.1045</v>
      </c>
      <c r="N159">
        <f>IFERROR(VLOOKUP(BikeData[[#This Row],[Intents]],[1]!Table2[#Data],5,FALSE),"")</f>
        <v>1</v>
      </c>
      <c r="O159">
        <f>IFERROR(VLOOKUP(BikeData[[#This Row],[Intents]],[1]!Table2[#Data],6,FALSE),"")</f>
        <v>50</v>
      </c>
      <c r="P159">
        <f>IFERROR(VLOOKUP(BikeData[[#This Row],[Intents]],[1]!Table2[#Data],7,FALSE),"")</f>
        <v>51</v>
      </c>
      <c r="Q159" s="2" t="str">
        <f>CHOOSE(BikeData[[#This Row],[Season]],"Spring","Summer","Fall","Winter")</f>
        <v>Spring</v>
      </c>
      <c r="R159" s="2" t="str">
        <f>CHOOSE(BikeData[[#This Row],[Weathersituation]],"Clear","Mist","Light Rain","Heavy Rain")</f>
        <v>Clear</v>
      </c>
      <c r="S159" s="2" t="str">
        <f>TEXT(BikeData[[#This Row],[Date]],"mmm")</f>
        <v>Jan</v>
      </c>
    </row>
    <row r="160" spans="1:19" x14ac:dyDescent="0.3">
      <c r="A160">
        <v>159</v>
      </c>
      <c r="B160" s="5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 s="6">
        <f>BikeData[[#This Row],[Temperature]]</f>
        <v>0.18</v>
      </c>
      <c r="L160">
        <f>IFERROR(VLOOKUP(BikeData[[#This Row],[Intents]],[1]!Table2[#Data],3,FALSE),"")</f>
        <v>0.47</v>
      </c>
      <c r="M160">
        <f>IFERROR(VLOOKUP(BikeData[[#This Row],[Intents]],[1]!Table2[#Data],4,FALSE),"")</f>
        <v>0.1343</v>
      </c>
      <c r="N160">
        <f>IFERROR(VLOOKUP(BikeData[[#This Row],[Intents]],[1]!Table2[#Data],5,FALSE),"")</f>
        <v>0</v>
      </c>
      <c r="O160">
        <f>IFERROR(VLOOKUP(BikeData[[#This Row],[Intents]],[1]!Table2[#Data],6,FALSE),"")</f>
        <v>39</v>
      </c>
      <c r="P160">
        <f>IFERROR(VLOOKUP(BikeData[[#This Row],[Intents]],[1]!Table2[#Data],7,FALSE),"")</f>
        <v>39</v>
      </c>
      <c r="Q160" s="2" t="str">
        <f>CHOOSE(BikeData[[#This Row],[Season]],"Spring","Summer","Fall","Winter")</f>
        <v>Spring</v>
      </c>
      <c r="R160" s="2" t="str">
        <f>CHOOSE(BikeData[[#This Row],[Weathersituation]],"Clear","Mist","Light Rain","Heavy Rain")</f>
        <v>Clear</v>
      </c>
      <c r="S160" s="2" t="str">
        <f>TEXT(BikeData[[#This Row],[Date]],"mmm")</f>
        <v>Jan</v>
      </c>
    </row>
    <row r="161" spans="1:19" x14ac:dyDescent="0.3">
      <c r="A161">
        <v>160</v>
      </c>
      <c r="B161" s="5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 s="6">
        <f>BikeData[[#This Row],[Temperature]]</f>
        <v>0.18</v>
      </c>
      <c r="L161">
        <f>IFERROR(VLOOKUP(BikeData[[#This Row],[Intents]],[1]!Table2[#Data],3,FALSE),"")</f>
        <v>0.43</v>
      </c>
      <c r="M161">
        <f>IFERROR(VLOOKUP(BikeData[[#This Row],[Intents]],[1]!Table2[#Data],4,FALSE),"")</f>
        <v>0.16420000000000001</v>
      </c>
      <c r="N161">
        <f>IFERROR(VLOOKUP(BikeData[[#This Row],[Intents]],[1]!Table2[#Data],5,FALSE),"")</f>
        <v>2</v>
      </c>
      <c r="O161">
        <f>IFERROR(VLOOKUP(BikeData[[#This Row],[Intents]],[1]!Table2[#Data],6,FALSE),"")</f>
        <v>34</v>
      </c>
      <c r="P161">
        <f>IFERROR(VLOOKUP(BikeData[[#This Row],[Intents]],[1]!Table2[#Data],7,FALSE),"")</f>
        <v>36</v>
      </c>
      <c r="Q161" s="2" t="str">
        <f>CHOOSE(BikeData[[#This Row],[Season]],"Spring","Summer","Fall","Winter")</f>
        <v>Spring</v>
      </c>
      <c r="R161" s="2" t="str">
        <f>CHOOSE(BikeData[[#This Row],[Weathersituation]],"Clear","Mist","Light Rain","Heavy Rain")</f>
        <v>Mist</v>
      </c>
      <c r="S161" s="2" t="str">
        <f>TEXT(BikeData[[#This Row],[Date]],"mmm")</f>
        <v>Jan</v>
      </c>
    </row>
    <row r="162" spans="1:19" x14ac:dyDescent="0.3">
      <c r="A162">
        <v>161</v>
      </c>
      <c r="B162" s="5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 s="6">
        <f>BikeData[[#This Row],[Temperature]]</f>
        <v>0.18</v>
      </c>
      <c r="L162">
        <f>IFERROR(VLOOKUP(BikeData[[#This Row],[Intents]],[1]!Table2[#Data],3,FALSE),"")</f>
        <v>0.51</v>
      </c>
      <c r="M162">
        <f>IFERROR(VLOOKUP(BikeData[[#This Row],[Intents]],[1]!Table2[#Data],4,FALSE),"")</f>
        <v>0.16420000000000001</v>
      </c>
      <c r="N162">
        <f>IFERROR(VLOOKUP(BikeData[[#This Row],[Intents]],[1]!Table2[#Data],5,FALSE),"")</f>
        <v>1</v>
      </c>
      <c r="O162">
        <f>IFERROR(VLOOKUP(BikeData[[#This Row],[Intents]],[1]!Table2[#Data],6,FALSE),"")</f>
        <v>14</v>
      </c>
      <c r="P162">
        <f>IFERROR(VLOOKUP(BikeData[[#This Row],[Intents]],[1]!Table2[#Data],7,FALSE),"")</f>
        <v>15</v>
      </c>
      <c r="Q162" s="2" t="str">
        <f>CHOOSE(BikeData[[#This Row],[Season]],"Spring","Summer","Fall","Winter")</f>
        <v>Spring</v>
      </c>
      <c r="R162" s="2" t="str">
        <f>CHOOSE(BikeData[[#This Row],[Weathersituation]],"Clear","Mist","Light Rain","Heavy Rain")</f>
        <v>Mist</v>
      </c>
      <c r="S162" s="2" t="str">
        <f>TEXT(BikeData[[#This Row],[Date]],"mmm")</f>
        <v>Jan</v>
      </c>
    </row>
    <row r="163" spans="1:19" x14ac:dyDescent="0.3">
      <c r="A163">
        <v>162</v>
      </c>
      <c r="B163" s="5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 s="6">
        <f>BikeData[[#This Row],[Temperature]]</f>
        <v>0.18</v>
      </c>
      <c r="L163">
        <f>IFERROR(VLOOKUP(BikeData[[#This Row],[Intents]],[1]!Table2[#Data],3,FALSE),"")</f>
        <v>0.51</v>
      </c>
      <c r="M163">
        <f>IFERROR(VLOOKUP(BikeData[[#This Row],[Intents]],[1]!Table2[#Data],4,FALSE),"")</f>
        <v>0.16420000000000001</v>
      </c>
      <c r="N163">
        <f>IFERROR(VLOOKUP(BikeData[[#This Row],[Intents]],[1]!Table2[#Data],5,FALSE),"")</f>
        <v>1</v>
      </c>
      <c r="O163">
        <f>IFERROR(VLOOKUP(BikeData[[#This Row],[Intents]],[1]!Table2[#Data],6,FALSE),"")</f>
        <v>24</v>
      </c>
      <c r="P163">
        <f>IFERROR(VLOOKUP(BikeData[[#This Row],[Intents]],[1]!Table2[#Data],7,FALSE),"")</f>
        <v>25</v>
      </c>
      <c r="Q163" s="2" t="str">
        <f>CHOOSE(BikeData[[#This Row],[Season]],"Spring","Summer","Fall","Winter")</f>
        <v>Spring</v>
      </c>
      <c r="R163" s="2" t="str">
        <f>CHOOSE(BikeData[[#This Row],[Weathersituation]],"Clear","Mist","Light Rain","Heavy Rain")</f>
        <v>Mist</v>
      </c>
      <c r="S163" s="2" t="str">
        <f>TEXT(BikeData[[#This Row],[Date]],"mmm")</f>
        <v>Jan</v>
      </c>
    </row>
    <row r="164" spans="1:19" x14ac:dyDescent="0.3">
      <c r="A164">
        <v>163</v>
      </c>
      <c r="B164" s="5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 s="6">
        <f>BikeData[[#This Row],[Temperature]]</f>
        <v>0.18</v>
      </c>
      <c r="L164">
        <f>IFERROR(VLOOKUP(BikeData[[#This Row],[Intents]],[1]!Table2[#Data],3,FALSE),"")</f>
        <v>0.55000000000000004</v>
      </c>
      <c r="M164">
        <f>IFERROR(VLOOKUP(BikeData[[#This Row],[Intents]],[1]!Table2[#Data],4,FALSE),"")</f>
        <v>8.9599999999999999E-2</v>
      </c>
      <c r="N164">
        <f>IFERROR(VLOOKUP(BikeData[[#This Row],[Intents]],[1]!Table2[#Data],5,FALSE),"")</f>
        <v>1</v>
      </c>
      <c r="O164">
        <f>IFERROR(VLOOKUP(BikeData[[#This Row],[Intents]],[1]!Table2[#Data],6,FALSE),"")</f>
        <v>15</v>
      </c>
      <c r="P164">
        <f>IFERROR(VLOOKUP(BikeData[[#This Row],[Intents]],[1]!Table2[#Data],7,FALSE),"")</f>
        <v>16</v>
      </c>
      <c r="Q164" s="2" t="str">
        <f>CHOOSE(BikeData[[#This Row],[Season]],"Spring","Summer","Fall","Winter")</f>
        <v>Spring</v>
      </c>
      <c r="R164" s="2" t="str">
        <f>CHOOSE(BikeData[[#This Row],[Weathersituation]],"Clear","Mist","Light Rain","Heavy Rain")</f>
        <v>Mist</v>
      </c>
      <c r="S164" s="2" t="str">
        <f>TEXT(BikeData[[#This Row],[Date]],"mmm")</f>
        <v>Jan</v>
      </c>
    </row>
    <row r="165" spans="1:19" x14ac:dyDescent="0.3">
      <c r="A165">
        <v>164</v>
      </c>
      <c r="B165" s="5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 s="6">
        <f>BikeData[[#This Row],[Temperature]]</f>
        <v>0.18</v>
      </c>
      <c r="L165">
        <f>IFERROR(VLOOKUP(BikeData[[#This Row],[Intents]],[1]!Table2[#Data],3,FALSE),"")</f>
        <v>0.55000000000000004</v>
      </c>
      <c r="M165">
        <f>IFERROR(VLOOKUP(BikeData[[#This Row],[Intents]],[1]!Table2[#Data],4,FALSE),"")</f>
        <v>0</v>
      </c>
      <c r="N165">
        <f>IFERROR(VLOOKUP(BikeData[[#This Row],[Intents]],[1]!Table2[#Data],5,FALSE),"")</f>
        <v>3</v>
      </c>
      <c r="O165">
        <f>IFERROR(VLOOKUP(BikeData[[#This Row],[Intents]],[1]!Table2[#Data],6,FALSE),"")</f>
        <v>13</v>
      </c>
      <c r="P165">
        <f>IFERROR(VLOOKUP(BikeData[[#This Row],[Intents]],[1]!Table2[#Data],7,FALSE),"")</f>
        <v>16</v>
      </c>
      <c r="Q165" s="2" t="str">
        <f>CHOOSE(BikeData[[#This Row],[Season]],"Spring","Summer","Fall","Winter")</f>
        <v>Spring</v>
      </c>
      <c r="R165" s="2" t="str">
        <f>CHOOSE(BikeData[[#This Row],[Weathersituation]],"Clear","Mist","Light Rain","Heavy Rain")</f>
        <v>Mist</v>
      </c>
      <c r="S165" s="2" t="str">
        <f>TEXT(BikeData[[#This Row],[Date]],"mmm")</f>
        <v>Jan</v>
      </c>
    </row>
    <row r="166" spans="1:19" x14ac:dyDescent="0.3">
      <c r="A166">
        <v>165</v>
      </c>
      <c r="B166" s="5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 s="6">
        <f>BikeData[[#This Row],[Temperature]]</f>
        <v>0.18</v>
      </c>
      <c r="L166">
        <f>IFERROR(VLOOKUP(BikeData[[#This Row],[Intents]],[1]!Table2[#Data],3,FALSE),"")</f>
        <v>0.55000000000000004</v>
      </c>
      <c r="M166">
        <f>IFERROR(VLOOKUP(BikeData[[#This Row],[Intents]],[1]!Table2[#Data],4,FALSE),"")</f>
        <v>0.16420000000000001</v>
      </c>
      <c r="N166">
        <f>IFERROR(VLOOKUP(BikeData[[#This Row],[Intents]],[1]!Table2[#Data],5,FALSE),"")</f>
        <v>0</v>
      </c>
      <c r="O166">
        <f>IFERROR(VLOOKUP(BikeData[[#This Row],[Intents]],[1]!Table2[#Data],6,FALSE),"")</f>
        <v>7</v>
      </c>
      <c r="P166">
        <f>IFERROR(VLOOKUP(BikeData[[#This Row],[Intents]],[1]!Table2[#Data],7,FALSE),"")</f>
        <v>7</v>
      </c>
      <c r="Q166" s="2" t="str">
        <f>CHOOSE(BikeData[[#This Row],[Season]],"Spring","Summer","Fall","Winter")</f>
        <v>Spring</v>
      </c>
      <c r="R166" s="2" t="str">
        <f>CHOOSE(BikeData[[#This Row],[Weathersituation]],"Clear","Mist","Light Rain","Heavy Rain")</f>
        <v>Light Rain</v>
      </c>
      <c r="S166" s="2" t="str">
        <f>TEXT(BikeData[[#This Row],[Date]],"mmm")</f>
        <v>Jan</v>
      </c>
    </row>
    <row r="167" spans="1:19" x14ac:dyDescent="0.3">
      <c r="A167">
        <v>166</v>
      </c>
      <c r="B167" s="5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 s="6">
        <f>BikeData[[#This Row],[Temperature]]</f>
        <v>0.18</v>
      </c>
      <c r="L167">
        <f>IFERROR(VLOOKUP(BikeData[[#This Row],[Intents]],[1]!Table2[#Data],3,FALSE),"")</f>
        <v>0.55000000000000004</v>
      </c>
      <c r="M167">
        <f>IFERROR(VLOOKUP(BikeData[[#This Row],[Intents]],[1]!Table2[#Data],4,FALSE),"")</f>
        <v>0.16420000000000001</v>
      </c>
      <c r="N167">
        <f>IFERROR(VLOOKUP(BikeData[[#This Row],[Intents]],[1]!Table2[#Data],5,FALSE),"")</f>
        <v>0</v>
      </c>
      <c r="O167">
        <f>IFERROR(VLOOKUP(BikeData[[#This Row],[Intents]],[1]!Table2[#Data],6,FALSE),"")</f>
        <v>1</v>
      </c>
      <c r="P167">
        <f>IFERROR(VLOOKUP(BikeData[[#This Row],[Intents]],[1]!Table2[#Data],7,FALSE),"")</f>
        <v>1</v>
      </c>
      <c r="Q167" s="2" t="str">
        <f>CHOOSE(BikeData[[#This Row],[Season]],"Spring","Summer","Fall","Winter")</f>
        <v>Spring</v>
      </c>
      <c r="R167" s="2" t="str">
        <f>CHOOSE(BikeData[[#This Row],[Weathersituation]],"Clear","Mist","Light Rain","Heavy Rain")</f>
        <v>Light Rain</v>
      </c>
      <c r="S167" s="2" t="str">
        <f>TEXT(BikeData[[#This Row],[Date]],"mmm")</f>
        <v>Jan</v>
      </c>
    </row>
    <row r="168" spans="1:19" x14ac:dyDescent="0.3">
      <c r="A168">
        <v>167</v>
      </c>
      <c r="B168" s="5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 s="6">
        <f>BikeData[[#This Row],[Temperature]]</f>
        <v>0.16</v>
      </c>
      <c r="L168">
        <f>IFERROR(VLOOKUP(BikeData[[#This Row],[Intents]],[1]!Table2[#Data],3,FALSE),"")</f>
        <v>0.74</v>
      </c>
      <c r="M168">
        <f>IFERROR(VLOOKUP(BikeData[[#This Row],[Intents]],[1]!Table2[#Data],4,FALSE),"")</f>
        <v>0.16420000000000001</v>
      </c>
      <c r="N168">
        <f>IFERROR(VLOOKUP(BikeData[[#This Row],[Intents]],[1]!Table2[#Data],5,FALSE),"")</f>
        <v>0</v>
      </c>
      <c r="O168">
        <f>IFERROR(VLOOKUP(BikeData[[#This Row],[Intents]],[1]!Table2[#Data],6,FALSE),"")</f>
        <v>5</v>
      </c>
      <c r="P168">
        <f>IFERROR(VLOOKUP(BikeData[[#This Row],[Intents]],[1]!Table2[#Data],7,FALSE),"")</f>
        <v>5</v>
      </c>
      <c r="Q168" s="2" t="str">
        <f>CHOOSE(BikeData[[#This Row],[Season]],"Spring","Summer","Fall","Winter")</f>
        <v>Spring</v>
      </c>
      <c r="R168" s="2" t="str">
        <f>CHOOSE(BikeData[[#This Row],[Weathersituation]],"Clear","Mist","Light Rain","Heavy Rain")</f>
        <v>Mist</v>
      </c>
      <c r="S168" s="2" t="str">
        <f>TEXT(BikeData[[#This Row],[Date]],"mmm")</f>
        <v>Jan</v>
      </c>
    </row>
    <row r="169" spans="1:19" x14ac:dyDescent="0.3">
      <c r="A169">
        <v>168</v>
      </c>
      <c r="B169" s="5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 s="6">
        <f>BikeData[[#This Row],[Temperature]]</f>
        <v>0.16</v>
      </c>
      <c r="L169">
        <f>IFERROR(VLOOKUP(BikeData[[#This Row],[Intents]],[1]!Table2[#Data],3,FALSE),"")</f>
        <v>0.74</v>
      </c>
      <c r="M169">
        <f>IFERROR(VLOOKUP(BikeData[[#This Row],[Intents]],[1]!Table2[#Data],4,FALSE),"")</f>
        <v>0.16420000000000001</v>
      </c>
      <c r="N169">
        <f>IFERROR(VLOOKUP(BikeData[[#This Row],[Intents]],[1]!Table2[#Data],5,FALSE),"")</f>
        <v>0</v>
      </c>
      <c r="O169">
        <f>IFERROR(VLOOKUP(BikeData[[#This Row],[Intents]],[1]!Table2[#Data],6,FALSE),"")</f>
        <v>2</v>
      </c>
      <c r="P169">
        <f>IFERROR(VLOOKUP(BikeData[[#This Row],[Intents]],[1]!Table2[#Data],7,FALSE),"")</f>
        <v>2</v>
      </c>
      <c r="Q169" s="2" t="str">
        <f>CHOOSE(BikeData[[#This Row],[Season]],"Spring","Summer","Fall","Winter")</f>
        <v>Spring</v>
      </c>
      <c r="R169" s="2" t="str">
        <f>CHOOSE(BikeData[[#This Row],[Weathersituation]],"Clear","Mist","Light Rain","Heavy Rain")</f>
        <v>Mist</v>
      </c>
      <c r="S169" s="2" t="str">
        <f>TEXT(BikeData[[#This Row],[Date]],"mmm")</f>
        <v>Jan</v>
      </c>
    </row>
    <row r="170" spans="1:19" x14ac:dyDescent="0.3">
      <c r="A170">
        <v>169</v>
      </c>
      <c r="B170" s="5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 s="6">
        <f>BikeData[[#This Row],[Temperature]]</f>
        <v>0.16</v>
      </c>
      <c r="L170">
        <f>IFERROR(VLOOKUP(BikeData[[#This Row],[Intents]],[1]!Table2[#Data],3,FALSE),"")</f>
        <v>0.74</v>
      </c>
      <c r="M170">
        <f>IFERROR(VLOOKUP(BikeData[[#This Row],[Intents]],[1]!Table2[#Data],4,FALSE),"")</f>
        <v>0.1045</v>
      </c>
      <c r="N170">
        <f>IFERROR(VLOOKUP(BikeData[[#This Row],[Intents]],[1]!Table2[#Data],5,FALSE),"")</f>
        <v>1</v>
      </c>
      <c r="O170">
        <f>IFERROR(VLOOKUP(BikeData[[#This Row],[Intents]],[1]!Table2[#Data],6,FALSE),"")</f>
        <v>8</v>
      </c>
      <c r="P170">
        <f>IFERROR(VLOOKUP(BikeData[[#This Row],[Intents]],[1]!Table2[#Data],7,FALSE),"")</f>
        <v>9</v>
      </c>
      <c r="Q170" s="2" t="str">
        <f>CHOOSE(BikeData[[#This Row],[Season]],"Spring","Summer","Fall","Winter")</f>
        <v>Spring</v>
      </c>
      <c r="R170" s="2" t="str">
        <f>CHOOSE(BikeData[[#This Row],[Weathersituation]],"Clear","Mist","Light Rain","Heavy Rain")</f>
        <v>Mist</v>
      </c>
      <c r="S170" s="2" t="str">
        <f>TEXT(BikeData[[#This Row],[Date]],"mmm")</f>
        <v>Jan</v>
      </c>
    </row>
    <row r="171" spans="1:19" x14ac:dyDescent="0.3">
      <c r="A171">
        <v>170</v>
      </c>
      <c r="B171" s="5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 s="6">
        <f>BikeData[[#This Row],[Temperature]]</f>
        <v>0.16</v>
      </c>
      <c r="L171">
        <f>IFERROR(VLOOKUP(BikeData[[#This Row],[Intents]],[1]!Table2[#Data],3,FALSE),"")</f>
        <v>0.93</v>
      </c>
      <c r="M171">
        <f>IFERROR(VLOOKUP(BikeData[[#This Row],[Intents]],[1]!Table2[#Data],4,FALSE),"")</f>
        <v>0.1045</v>
      </c>
      <c r="N171">
        <f>IFERROR(VLOOKUP(BikeData[[#This Row],[Intents]],[1]!Table2[#Data],5,FALSE),"")</f>
        <v>0</v>
      </c>
      <c r="O171">
        <f>IFERROR(VLOOKUP(BikeData[[#This Row],[Intents]],[1]!Table2[#Data],6,FALSE),"")</f>
        <v>15</v>
      </c>
      <c r="P171">
        <f>IFERROR(VLOOKUP(BikeData[[#This Row],[Intents]],[1]!Table2[#Data],7,FALSE),"")</f>
        <v>15</v>
      </c>
      <c r="Q171" s="2" t="str">
        <f>CHOOSE(BikeData[[#This Row],[Season]],"Spring","Summer","Fall","Winter")</f>
        <v>Spring</v>
      </c>
      <c r="R171" s="2" t="str">
        <f>CHOOSE(BikeData[[#This Row],[Weathersituation]],"Clear","Mist","Light Rain","Heavy Rain")</f>
        <v>Light Rain</v>
      </c>
      <c r="S171" s="2" t="str">
        <f>TEXT(BikeData[[#This Row],[Date]],"mmm")</f>
        <v>Jan</v>
      </c>
    </row>
    <row r="172" spans="1:19" x14ac:dyDescent="0.3">
      <c r="A172">
        <v>171</v>
      </c>
      <c r="B172" s="5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 s="6">
        <f>BikeData[[#This Row],[Temperature]]</f>
        <v>0.16</v>
      </c>
      <c r="L172">
        <f>IFERROR(VLOOKUP(BikeData[[#This Row],[Intents]],[1]!Table2[#Data],3,FALSE),"")</f>
        <v>0.93</v>
      </c>
      <c r="M172">
        <f>IFERROR(VLOOKUP(BikeData[[#This Row],[Intents]],[1]!Table2[#Data],4,FALSE),"")</f>
        <v>0.1045</v>
      </c>
      <c r="N172">
        <f>IFERROR(VLOOKUP(BikeData[[#This Row],[Intents]],[1]!Table2[#Data],5,FALSE),"")</f>
        <v>0</v>
      </c>
      <c r="O172">
        <f>IFERROR(VLOOKUP(BikeData[[#This Row],[Intents]],[1]!Table2[#Data],6,FALSE),"")</f>
        <v>20</v>
      </c>
      <c r="P172">
        <f>IFERROR(VLOOKUP(BikeData[[#This Row],[Intents]],[1]!Table2[#Data],7,FALSE),"")</f>
        <v>20</v>
      </c>
      <c r="Q172" s="2" t="str">
        <f>CHOOSE(BikeData[[#This Row],[Season]],"Spring","Summer","Fall","Winter")</f>
        <v>Spring</v>
      </c>
      <c r="R172" s="2" t="str">
        <f>CHOOSE(BikeData[[#This Row],[Weathersituation]],"Clear","Mist","Light Rain","Heavy Rain")</f>
        <v>Light Rain</v>
      </c>
      <c r="S172" s="2" t="str">
        <f>TEXT(BikeData[[#This Row],[Date]],"mmm")</f>
        <v>Jan</v>
      </c>
    </row>
    <row r="173" spans="1:19" x14ac:dyDescent="0.3">
      <c r="A173">
        <v>172</v>
      </c>
      <c r="B173" s="5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 s="6">
        <f>BikeData[[#This Row],[Temperature]]</f>
        <v>0.18</v>
      </c>
      <c r="L173">
        <f>IFERROR(VLOOKUP(BikeData[[#This Row],[Intents]],[1]!Table2[#Data],3,FALSE),"")</f>
        <v>0.8</v>
      </c>
      <c r="M173">
        <f>IFERROR(VLOOKUP(BikeData[[#This Row],[Intents]],[1]!Table2[#Data],4,FALSE),"")</f>
        <v>0.16420000000000001</v>
      </c>
      <c r="N173">
        <f>IFERROR(VLOOKUP(BikeData[[#This Row],[Intents]],[1]!Table2[#Data],5,FALSE),"")</f>
        <v>5</v>
      </c>
      <c r="O173">
        <f>IFERROR(VLOOKUP(BikeData[[#This Row],[Intents]],[1]!Table2[#Data],6,FALSE),"")</f>
        <v>56</v>
      </c>
      <c r="P173">
        <f>IFERROR(VLOOKUP(BikeData[[#This Row],[Intents]],[1]!Table2[#Data],7,FALSE),"")</f>
        <v>61</v>
      </c>
      <c r="Q173" s="2" t="str">
        <f>CHOOSE(BikeData[[#This Row],[Season]],"Spring","Summer","Fall","Winter")</f>
        <v>Spring</v>
      </c>
      <c r="R173" s="2" t="str">
        <f>CHOOSE(BikeData[[#This Row],[Weathersituation]],"Clear","Mist","Light Rain","Heavy Rain")</f>
        <v>Mist</v>
      </c>
      <c r="S173" s="2" t="str">
        <f>TEXT(BikeData[[#This Row],[Date]],"mmm")</f>
        <v>Jan</v>
      </c>
    </row>
    <row r="174" spans="1:19" x14ac:dyDescent="0.3">
      <c r="A174">
        <v>173</v>
      </c>
      <c r="B174" s="5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 s="6">
        <f>BikeData[[#This Row],[Temperature]]</f>
        <v>0.2</v>
      </c>
      <c r="L174">
        <f>IFERROR(VLOOKUP(BikeData[[#This Row],[Intents]],[1]!Table2[#Data],3,FALSE),"")</f>
        <v>0.69</v>
      </c>
      <c r="M174">
        <f>IFERROR(VLOOKUP(BikeData[[#This Row],[Intents]],[1]!Table2[#Data],4,FALSE),"")</f>
        <v>0.3881</v>
      </c>
      <c r="N174">
        <f>IFERROR(VLOOKUP(BikeData[[#This Row],[Intents]],[1]!Table2[#Data],5,FALSE),"")</f>
        <v>2</v>
      </c>
      <c r="O174">
        <f>IFERROR(VLOOKUP(BikeData[[#This Row],[Intents]],[1]!Table2[#Data],6,FALSE),"")</f>
        <v>60</v>
      </c>
      <c r="P174">
        <f>IFERROR(VLOOKUP(BikeData[[#This Row],[Intents]],[1]!Table2[#Data],7,FALSE),"")</f>
        <v>62</v>
      </c>
      <c r="Q174" s="2" t="str">
        <f>CHOOSE(BikeData[[#This Row],[Season]],"Spring","Summer","Fall","Winter")</f>
        <v>Spring</v>
      </c>
      <c r="R174" s="2" t="str">
        <f>CHOOSE(BikeData[[#This Row],[Weathersituation]],"Clear","Mist","Light Rain","Heavy Rain")</f>
        <v>Mist</v>
      </c>
      <c r="S174" s="2" t="str">
        <f>TEXT(BikeData[[#This Row],[Date]],"mmm")</f>
        <v>Jan</v>
      </c>
    </row>
    <row r="175" spans="1:19" x14ac:dyDescent="0.3">
      <c r="A175">
        <v>174</v>
      </c>
      <c r="B175" s="5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 s="6">
        <f>BikeData[[#This Row],[Temperature]]</f>
        <v>0.2</v>
      </c>
      <c r="L175">
        <f>IFERROR(VLOOKUP(BikeData[[#This Row],[Intents]],[1]!Table2[#Data],3,FALSE),"")</f>
        <v>0.59</v>
      </c>
      <c r="M175">
        <f>IFERROR(VLOOKUP(BikeData[[#This Row],[Intents]],[1]!Table2[#Data],4,FALSE),"")</f>
        <v>0.35820000000000002</v>
      </c>
      <c r="N175">
        <f>IFERROR(VLOOKUP(BikeData[[#This Row],[Intents]],[1]!Table2[#Data],5,FALSE),"")</f>
        <v>8</v>
      </c>
      <c r="O175">
        <f>IFERROR(VLOOKUP(BikeData[[#This Row],[Intents]],[1]!Table2[#Data],6,FALSE),"")</f>
        <v>90</v>
      </c>
      <c r="P175">
        <f>IFERROR(VLOOKUP(BikeData[[#This Row],[Intents]],[1]!Table2[#Data],7,FALSE),"")</f>
        <v>98</v>
      </c>
      <c r="Q175" s="2" t="str">
        <f>CHOOSE(BikeData[[#This Row],[Season]],"Spring","Summer","Fall","Winter")</f>
        <v>Spring</v>
      </c>
      <c r="R175" s="2" t="str">
        <f>CHOOSE(BikeData[[#This Row],[Weathersituation]],"Clear","Mist","Light Rain","Heavy Rain")</f>
        <v>Mist</v>
      </c>
      <c r="S175" s="2" t="str">
        <f>TEXT(BikeData[[#This Row],[Date]],"mmm")</f>
        <v>Jan</v>
      </c>
    </row>
    <row r="176" spans="1:19" x14ac:dyDescent="0.3">
      <c r="A176">
        <v>175</v>
      </c>
      <c r="B176" s="5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 s="6">
        <f>BikeData[[#This Row],[Temperature]]</f>
        <v>0.2</v>
      </c>
      <c r="L176">
        <f>IFERROR(VLOOKUP(BikeData[[#This Row],[Intents]],[1]!Table2[#Data],3,FALSE),"")</f>
        <v>0.44</v>
      </c>
      <c r="M176">
        <f>IFERROR(VLOOKUP(BikeData[[#This Row],[Intents]],[1]!Table2[#Data],4,FALSE),"")</f>
        <v>0.32840000000000003</v>
      </c>
      <c r="N176">
        <f>IFERROR(VLOOKUP(BikeData[[#This Row],[Intents]],[1]!Table2[#Data],5,FALSE),"")</f>
        <v>7</v>
      </c>
      <c r="O176">
        <f>IFERROR(VLOOKUP(BikeData[[#This Row],[Intents]],[1]!Table2[#Data],6,FALSE),"")</f>
        <v>95</v>
      </c>
      <c r="P176">
        <f>IFERROR(VLOOKUP(BikeData[[#This Row],[Intents]],[1]!Table2[#Data],7,FALSE),"")</f>
        <v>102</v>
      </c>
      <c r="Q176" s="2" t="str">
        <f>CHOOSE(BikeData[[#This Row],[Season]],"Spring","Summer","Fall","Winter")</f>
        <v>Spring</v>
      </c>
      <c r="R176" s="2" t="str">
        <f>CHOOSE(BikeData[[#This Row],[Weathersituation]],"Clear","Mist","Light Rain","Heavy Rain")</f>
        <v>Clear</v>
      </c>
      <c r="S176" s="2" t="str">
        <f>TEXT(BikeData[[#This Row],[Date]],"mmm")</f>
        <v>Jan</v>
      </c>
    </row>
    <row r="177" spans="1:19" x14ac:dyDescent="0.3">
      <c r="A177">
        <v>176</v>
      </c>
      <c r="B177" s="5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 s="6">
        <f>BikeData[[#This Row],[Temperature]]</f>
        <v>0.2</v>
      </c>
      <c r="L177">
        <f>IFERROR(VLOOKUP(BikeData[[#This Row],[Intents]],[1]!Table2[#Data],3,FALSE),"")</f>
        <v>0.32</v>
      </c>
      <c r="M177">
        <f>IFERROR(VLOOKUP(BikeData[[#This Row],[Intents]],[1]!Table2[#Data],4,FALSE),"")</f>
        <v>0.49249999999999999</v>
      </c>
      <c r="N177">
        <f>IFERROR(VLOOKUP(BikeData[[#This Row],[Intents]],[1]!Table2[#Data],5,FALSE),"")</f>
        <v>12</v>
      </c>
      <c r="O177">
        <f>IFERROR(VLOOKUP(BikeData[[#This Row],[Intents]],[1]!Table2[#Data],6,FALSE),"")</f>
        <v>83</v>
      </c>
      <c r="P177">
        <f>IFERROR(VLOOKUP(BikeData[[#This Row],[Intents]],[1]!Table2[#Data],7,FALSE),"")</f>
        <v>95</v>
      </c>
      <c r="Q177" s="2" t="str">
        <f>CHOOSE(BikeData[[#This Row],[Season]],"Spring","Summer","Fall","Winter")</f>
        <v>Spring</v>
      </c>
      <c r="R177" s="2" t="str">
        <f>CHOOSE(BikeData[[#This Row],[Weathersituation]],"Clear","Mist","Light Rain","Heavy Rain")</f>
        <v>Clear</v>
      </c>
      <c r="S177" s="2" t="str">
        <f>TEXT(BikeData[[#This Row],[Date]],"mmm")</f>
        <v>Jan</v>
      </c>
    </row>
    <row r="178" spans="1:19" x14ac:dyDescent="0.3">
      <c r="A178">
        <v>177</v>
      </c>
      <c r="B178" s="5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 s="6">
        <f>BikeData[[#This Row],[Temperature]]</f>
        <v>0.2</v>
      </c>
      <c r="L178">
        <f>IFERROR(VLOOKUP(BikeData[[#This Row],[Intents]],[1]!Table2[#Data],3,FALSE),"")</f>
        <v>0.32</v>
      </c>
      <c r="M178">
        <f>IFERROR(VLOOKUP(BikeData[[#This Row],[Intents]],[1]!Table2[#Data],4,FALSE),"")</f>
        <v>0.44779999999999998</v>
      </c>
      <c r="N178">
        <f>IFERROR(VLOOKUP(BikeData[[#This Row],[Intents]],[1]!Table2[#Data],5,FALSE),"")</f>
        <v>5</v>
      </c>
      <c r="O178">
        <f>IFERROR(VLOOKUP(BikeData[[#This Row],[Intents]],[1]!Table2[#Data],6,FALSE),"")</f>
        <v>69</v>
      </c>
      <c r="P178">
        <f>IFERROR(VLOOKUP(BikeData[[#This Row],[Intents]],[1]!Table2[#Data],7,FALSE),"")</f>
        <v>74</v>
      </c>
      <c r="Q178" s="2" t="str">
        <f>CHOOSE(BikeData[[#This Row],[Season]],"Spring","Summer","Fall","Winter")</f>
        <v>Spring</v>
      </c>
      <c r="R178" s="2" t="str">
        <f>CHOOSE(BikeData[[#This Row],[Weathersituation]],"Clear","Mist","Light Rain","Heavy Rain")</f>
        <v>Clear</v>
      </c>
      <c r="S178" s="2" t="str">
        <f>TEXT(BikeData[[#This Row],[Date]],"mmm")</f>
        <v>Jan</v>
      </c>
    </row>
    <row r="179" spans="1:19" x14ac:dyDescent="0.3">
      <c r="A179">
        <v>178</v>
      </c>
      <c r="B179" s="5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 s="6">
        <f>BikeData[[#This Row],[Temperature]]</f>
        <v>0.18</v>
      </c>
      <c r="L179">
        <f>IFERROR(VLOOKUP(BikeData[[#This Row],[Intents]],[1]!Table2[#Data],3,FALSE),"")</f>
        <v>0.28999999999999998</v>
      </c>
      <c r="M179">
        <f>IFERROR(VLOOKUP(BikeData[[#This Row],[Intents]],[1]!Table2[#Data],4,FALSE),"")</f>
        <v>0.44779999999999998</v>
      </c>
      <c r="N179">
        <f>IFERROR(VLOOKUP(BikeData[[#This Row],[Intents]],[1]!Table2[#Data],5,FALSE),"")</f>
        <v>8</v>
      </c>
      <c r="O179">
        <f>IFERROR(VLOOKUP(BikeData[[#This Row],[Intents]],[1]!Table2[#Data],6,FALSE),"")</f>
        <v>68</v>
      </c>
      <c r="P179">
        <f>IFERROR(VLOOKUP(BikeData[[#This Row],[Intents]],[1]!Table2[#Data],7,FALSE),"")</f>
        <v>76</v>
      </c>
      <c r="Q179" s="2" t="str">
        <f>CHOOSE(BikeData[[#This Row],[Season]],"Spring","Summer","Fall","Winter")</f>
        <v>Spring</v>
      </c>
      <c r="R179" s="2" t="str">
        <f>CHOOSE(BikeData[[#This Row],[Weathersituation]],"Clear","Mist","Light Rain","Heavy Rain")</f>
        <v>Clear</v>
      </c>
      <c r="S179" s="2" t="str">
        <f>TEXT(BikeData[[#This Row],[Date]],"mmm")</f>
        <v>Jan</v>
      </c>
    </row>
    <row r="180" spans="1:19" x14ac:dyDescent="0.3">
      <c r="A180">
        <v>179</v>
      </c>
      <c r="B180" s="5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 s="6">
        <f>BikeData[[#This Row],[Temperature]]</f>
        <v>0.16</v>
      </c>
      <c r="L180">
        <f>IFERROR(VLOOKUP(BikeData[[#This Row],[Intents]],[1]!Table2[#Data],3,FALSE),"")</f>
        <v>0.37</v>
      </c>
      <c r="M180">
        <f>IFERROR(VLOOKUP(BikeData[[#This Row],[Intents]],[1]!Table2[#Data],4,FALSE),"")</f>
        <v>0.55220000000000002</v>
      </c>
      <c r="N180">
        <f>IFERROR(VLOOKUP(BikeData[[#This Row],[Intents]],[1]!Table2[#Data],5,FALSE),"")</f>
        <v>5</v>
      </c>
      <c r="O180">
        <f>IFERROR(VLOOKUP(BikeData[[#This Row],[Intents]],[1]!Table2[#Data],6,FALSE),"")</f>
        <v>64</v>
      </c>
      <c r="P180">
        <f>IFERROR(VLOOKUP(BikeData[[#This Row],[Intents]],[1]!Table2[#Data],7,FALSE),"")</f>
        <v>69</v>
      </c>
      <c r="Q180" s="2" t="str">
        <f>CHOOSE(BikeData[[#This Row],[Season]],"Spring","Summer","Fall","Winter")</f>
        <v>Spring</v>
      </c>
      <c r="R180" s="2" t="str">
        <f>CHOOSE(BikeData[[#This Row],[Weathersituation]],"Clear","Mist","Light Rain","Heavy Rain")</f>
        <v>Clear</v>
      </c>
      <c r="S180" s="2" t="str">
        <f>TEXT(BikeData[[#This Row],[Date]],"mmm")</f>
        <v>Jan</v>
      </c>
    </row>
    <row r="181" spans="1:19" x14ac:dyDescent="0.3">
      <c r="A181">
        <v>180</v>
      </c>
      <c r="B181" s="5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 s="6">
        <f>BikeData[[#This Row],[Temperature]]</f>
        <v>0.14000000000000001</v>
      </c>
      <c r="L181">
        <f>IFERROR(VLOOKUP(BikeData[[#This Row],[Intents]],[1]!Table2[#Data],3,FALSE),"")</f>
        <v>0.39</v>
      </c>
      <c r="M181">
        <f>IFERROR(VLOOKUP(BikeData[[#This Row],[Intents]],[1]!Table2[#Data],4,FALSE),"")</f>
        <v>0.29849999999999999</v>
      </c>
      <c r="N181">
        <f>IFERROR(VLOOKUP(BikeData[[#This Row],[Intents]],[1]!Table2[#Data],5,FALSE),"")</f>
        <v>3</v>
      </c>
      <c r="O181">
        <f>IFERROR(VLOOKUP(BikeData[[#This Row],[Intents]],[1]!Table2[#Data],6,FALSE),"")</f>
        <v>52</v>
      </c>
      <c r="P181">
        <f>IFERROR(VLOOKUP(BikeData[[#This Row],[Intents]],[1]!Table2[#Data],7,FALSE),"")</f>
        <v>55</v>
      </c>
      <c r="Q181" s="2" t="str">
        <f>CHOOSE(BikeData[[#This Row],[Season]],"Spring","Summer","Fall","Winter")</f>
        <v>Spring</v>
      </c>
      <c r="R181" s="2" t="str">
        <f>CHOOSE(BikeData[[#This Row],[Weathersituation]],"Clear","Mist","Light Rain","Heavy Rain")</f>
        <v>Clear</v>
      </c>
      <c r="S181" s="2" t="str">
        <f>TEXT(BikeData[[#This Row],[Date]],"mmm")</f>
        <v>Jan</v>
      </c>
    </row>
    <row r="182" spans="1:19" x14ac:dyDescent="0.3">
      <c r="A182">
        <v>181</v>
      </c>
      <c r="B182" s="5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 s="6">
        <f>BikeData[[#This Row],[Temperature]]</f>
        <v>0.14000000000000001</v>
      </c>
      <c r="L182">
        <f>IFERROR(VLOOKUP(BikeData[[#This Row],[Intents]],[1]!Table2[#Data],3,FALSE),"")</f>
        <v>0.36</v>
      </c>
      <c r="M182">
        <f>IFERROR(VLOOKUP(BikeData[[#This Row],[Intents]],[1]!Table2[#Data],4,FALSE),"")</f>
        <v>0.25369999999999998</v>
      </c>
      <c r="N182">
        <f>IFERROR(VLOOKUP(BikeData[[#This Row],[Intents]],[1]!Table2[#Data],5,FALSE),"")</f>
        <v>4</v>
      </c>
      <c r="O182">
        <f>IFERROR(VLOOKUP(BikeData[[#This Row],[Intents]],[1]!Table2[#Data],6,FALSE),"")</f>
        <v>26</v>
      </c>
      <c r="P182">
        <f>IFERROR(VLOOKUP(BikeData[[#This Row],[Intents]],[1]!Table2[#Data],7,FALSE),"")</f>
        <v>30</v>
      </c>
      <c r="Q182" s="2" t="str">
        <f>CHOOSE(BikeData[[#This Row],[Season]],"Spring","Summer","Fall","Winter")</f>
        <v>Spring</v>
      </c>
      <c r="R182" s="2" t="str">
        <f>CHOOSE(BikeData[[#This Row],[Weathersituation]],"Clear","Mist","Light Rain","Heavy Rain")</f>
        <v>Clear</v>
      </c>
      <c r="S182" s="2" t="str">
        <f>TEXT(BikeData[[#This Row],[Date]],"mmm")</f>
        <v>Jan</v>
      </c>
    </row>
    <row r="183" spans="1:19" x14ac:dyDescent="0.3">
      <c r="A183">
        <v>182</v>
      </c>
      <c r="B183" s="5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 s="6">
        <f>BikeData[[#This Row],[Temperature]]</f>
        <v>0.12</v>
      </c>
      <c r="L183">
        <f>IFERROR(VLOOKUP(BikeData[[#This Row],[Intents]],[1]!Table2[#Data],3,FALSE),"")</f>
        <v>0.36</v>
      </c>
      <c r="M183">
        <f>IFERROR(VLOOKUP(BikeData[[#This Row],[Intents]],[1]!Table2[#Data],4,FALSE),"")</f>
        <v>0.25369999999999998</v>
      </c>
      <c r="N183">
        <f>IFERROR(VLOOKUP(BikeData[[#This Row],[Intents]],[1]!Table2[#Data],5,FALSE),"")</f>
        <v>0</v>
      </c>
      <c r="O183">
        <f>IFERROR(VLOOKUP(BikeData[[#This Row],[Intents]],[1]!Table2[#Data],6,FALSE),"")</f>
        <v>28</v>
      </c>
      <c r="P183">
        <f>IFERROR(VLOOKUP(BikeData[[#This Row],[Intents]],[1]!Table2[#Data],7,FALSE),"")</f>
        <v>28</v>
      </c>
      <c r="Q183" s="2" t="str">
        <f>CHOOSE(BikeData[[#This Row],[Season]],"Spring","Summer","Fall","Winter")</f>
        <v>Spring</v>
      </c>
      <c r="R183" s="2" t="str">
        <f>CHOOSE(BikeData[[#This Row],[Weathersituation]],"Clear","Mist","Light Rain","Heavy Rain")</f>
        <v>Clear</v>
      </c>
      <c r="S183" s="2" t="str">
        <f>TEXT(BikeData[[#This Row],[Date]],"mmm")</f>
        <v>Jan</v>
      </c>
    </row>
    <row r="184" spans="1:19" x14ac:dyDescent="0.3">
      <c r="A184">
        <v>183</v>
      </c>
      <c r="B184" s="5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 s="6">
        <f>BikeData[[#This Row],[Temperature]]</f>
        <v>0.12</v>
      </c>
      <c r="L184">
        <f>IFERROR(VLOOKUP(BikeData[[#This Row],[Intents]],[1]!Table2[#Data],3,FALSE),"")</f>
        <v>0.39</v>
      </c>
      <c r="M184">
        <f>IFERROR(VLOOKUP(BikeData[[#This Row],[Intents]],[1]!Table2[#Data],4,FALSE),"")</f>
        <v>0.35820000000000002</v>
      </c>
      <c r="N184">
        <f>IFERROR(VLOOKUP(BikeData[[#This Row],[Intents]],[1]!Table2[#Data],5,FALSE),"")</f>
        <v>2</v>
      </c>
      <c r="O184">
        <f>IFERROR(VLOOKUP(BikeData[[#This Row],[Intents]],[1]!Table2[#Data],6,FALSE),"")</f>
        <v>35</v>
      </c>
      <c r="P184">
        <f>IFERROR(VLOOKUP(BikeData[[#This Row],[Intents]],[1]!Table2[#Data],7,FALSE),"")</f>
        <v>37</v>
      </c>
      <c r="Q184" s="2" t="str">
        <f>CHOOSE(BikeData[[#This Row],[Season]],"Spring","Summer","Fall","Winter")</f>
        <v>Spring</v>
      </c>
      <c r="R184" s="2" t="str">
        <f>CHOOSE(BikeData[[#This Row],[Weathersituation]],"Clear","Mist","Light Rain","Heavy Rain")</f>
        <v>Clear</v>
      </c>
      <c r="S184" s="2" t="str">
        <f>TEXT(BikeData[[#This Row],[Date]],"mmm")</f>
        <v>Jan</v>
      </c>
    </row>
    <row r="185" spans="1:19" x14ac:dyDescent="0.3">
      <c r="A185">
        <v>184</v>
      </c>
      <c r="B185" s="5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 s="6">
        <f>BikeData[[#This Row],[Temperature]]</f>
        <v>0.12</v>
      </c>
      <c r="L185">
        <f>IFERROR(VLOOKUP(BikeData[[#This Row],[Intents]],[1]!Table2[#Data],3,FALSE),"")</f>
        <v>0.36</v>
      </c>
      <c r="M185">
        <f>IFERROR(VLOOKUP(BikeData[[#This Row],[Intents]],[1]!Table2[#Data],4,FALSE),"")</f>
        <v>0.3881</v>
      </c>
      <c r="N185">
        <f>IFERROR(VLOOKUP(BikeData[[#This Row],[Intents]],[1]!Table2[#Data],5,FALSE),"")</f>
        <v>1</v>
      </c>
      <c r="O185">
        <f>IFERROR(VLOOKUP(BikeData[[#This Row],[Intents]],[1]!Table2[#Data],6,FALSE),"")</f>
        <v>33</v>
      </c>
      <c r="P185">
        <f>IFERROR(VLOOKUP(BikeData[[#This Row],[Intents]],[1]!Table2[#Data],7,FALSE),"")</f>
        <v>34</v>
      </c>
      <c r="Q185" s="2" t="str">
        <f>CHOOSE(BikeData[[#This Row],[Season]],"Spring","Summer","Fall","Winter")</f>
        <v>Spring</v>
      </c>
      <c r="R185" s="2" t="str">
        <f>CHOOSE(BikeData[[#This Row],[Weathersituation]],"Clear","Mist","Light Rain","Heavy Rain")</f>
        <v>Clear</v>
      </c>
      <c r="S185" s="2" t="str">
        <f>TEXT(BikeData[[#This Row],[Date]],"mmm")</f>
        <v>Jan</v>
      </c>
    </row>
    <row r="186" spans="1:19" x14ac:dyDescent="0.3">
      <c r="A186">
        <v>185</v>
      </c>
      <c r="B186" s="5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 s="6">
        <f>BikeData[[#This Row],[Temperature]]</f>
        <v>0.1</v>
      </c>
      <c r="L186">
        <f>IFERROR(VLOOKUP(BikeData[[#This Row],[Intents]],[1]!Table2[#Data],3,FALSE),"")</f>
        <v>0.39</v>
      </c>
      <c r="M186">
        <f>IFERROR(VLOOKUP(BikeData[[#This Row],[Intents]],[1]!Table2[#Data],4,FALSE),"")</f>
        <v>0.44779999999999998</v>
      </c>
      <c r="N186">
        <f>IFERROR(VLOOKUP(BikeData[[#This Row],[Intents]],[1]!Table2[#Data],5,FALSE),"")</f>
        <v>0</v>
      </c>
      <c r="O186">
        <f>IFERROR(VLOOKUP(BikeData[[#This Row],[Intents]],[1]!Table2[#Data],6,FALSE),"")</f>
        <v>22</v>
      </c>
      <c r="P186">
        <f>IFERROR(VLOOKUP(BikeData[[#This Row],[Intents]],[1]!Table2[#Data],7,FALSE),"")</f>
        <v>22</v>
      </c>
      <c r="Q186" s="2" t="str">
        <f>CHOOSE(BikeData[[#This Row],[Season]],"Spring","Summer","Fall","Winter")</f>
        <v>Spring</v>
      </c>
      <c r="R186" s="2" t="str">
        <f>CHOOSE(BikeData[[#This Row],[Weathersituation]],"Clear","Mist","Light Rain","Heavy Rain")</f>
        <v>Clear</v>
      </c>
      <c r="S186" s="2" t="str">
        <f>TEXT(BikeData[[#This Row],[Date]],"mmm")</f>
        <v>Jan</v>
      </c>
    </row>
    <row r="187" spans="1:19" x14ac:dyDescent="0.3">
      <c r="A187">
        <v>186</v>
      </c>
      <c r="B187" s="5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 s="6">
        <f>BikeData[[#This Row],[Temperature]]</f>
        <v>0.1</v>
      </c>
      <c r="L187">
        <f>IFERROR(VLOOKUP(BikeData[[#This Row],[Intents]],[1]!Table2[#Data],3,FALSE),"")</f>
        <v>0.42</v>
      </c>
      <c r="M187">
        <f>IFERROR(VLOOKUP(BikeData[[#This Row],[Intents]],[1]!Table2[#Data],4,FALSE),"")</f>
        <v>0.3881</v>
      </c>
      <c r="N187">
        <f>IFERROR(VLOOKUP(BikeData[[#This Row],[Intents]],[1]!Table2[#Data],5,FALSE),"")</f>
        <v>1</v>
      </c>
      <c r="O187">
        <f>IFERROR(VLOOKUP(BikeData[[#This Row],[Intents]],[1]!Table2[#Data],6,FALSE),"")</f>
        <v>24</v>
      </c>
      <c r="P187">
        <f>IFERROR(VLOOKUP(BikeData[[#This Row],[Intents]],[1]!Table2[#Data],7,FALSE),"")</f>
        <v>25</v>
      </c>
      <c r="Q187" s="2" t="str">
        <f>CHOOSE(BikeData[[#This Row],[Season]],"Spring","Summer","Fall","Winter")</f>
        <v>Spring</v>
      </c>
      <c r="R187" s="2" t="str">
        <f>CHOOSE(BikeData[[#This Row],[Weathersituation]],"Clear","Mist","Light Rain","Heavy Rain")</f>
        <v>Clear</v>
      </c>
      <c r="S187" s="2" t="str">
        <f>TEXT(BikeData[[#This Row],[Date]],"mmm")</f>
        <v>Jan</v>
      </c>
    </row>
    <row r="188" spans="1:19" x14ac:dyDescent="0.3">
      <c r="A188">
        <v>187</v>
      </c>
      <c r="B188" s="5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 s="6">
        <f>BikeData[[#This Row],[Temperature]]</f>
        <v>0.1</v>
      </c>
      <c r="L188">
        <f>IFERROR(VLOOKUP(BikeData[[#This Row],[Intents]],[1]!Table2[#Data],3,FALSE),"")</f>
        <v>0.42</v>
      </c>
      <c r="M188">
        <f>IFERROR(VLOOKUP(BikeData[[#This Row],[Intents]],[1]!Table2[#Data],4,FALSE),"")</f>
        <v>0.4627</v>
      </c>
      <c r="N188">
        <f>IFERROR(VLOOKUP(BikeData[[#This Row],[Intents]],[1]!Table2[#Data],5,FALSE),"")</f>
        <v>0</v>
      </c>
      <c r="O188">
        <f>IFERROR(VLOOKUP(BikeData[[#This Row],[Intents]],[1]!Table2[#Data],6,FALSE),"")</f>
        <v>12</v>
      </c>
      <c r="P188">
        <f>IFERROR(VLOOKUP(BikeData[[#This Row],[Intents]],[1]!Table2[#Data],7,FALSE),"")</f>
        <v>12</v>
      </c>
      <c r="Q188" s="2" t="str">
        <f>CHOOSE(BikeData[[#This Row],[Season]],"Spring","Summer","Fall","Winter")</f>
        <v>Spring</v>
      </c>
      <c r="R188" s="2" t="str">
        <f>CHOOSE(BikeData[[#This Row],[Weathersituation]],"Clear","Mist","Light Rain","Heavy Rain")</f>
        <v>Clear</v>
      </c>
      <c r="S188" s="2" t="str">
        <f>TEXT(BikeData[[#This Row],[Date]],"mmm")</f>
        <v>Jan</v>
      </c>
    </row>
    <row r="189" spans="1:19" x14ac:dyDescent="0.3">
      <c r="A189">
        <v>188</v>
      </c>
      <c r="B189" s="5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 s="6">
        <f>BikeData[[#This Row],[Temperature]]</f>
        <v>0.1</v>
      </c>
      <c r="L189">
        <f>IFERROR(VLOOKUP(BikeData[[#This Row],[Intents]],[1]!Table2[#Data],3,FALSE),"")</f>
        <v>0.46</v>
      </c>
      <c r="M189">
        <f>IFERROR(VLOOKUP(BikeData[[#This Row],[Intents]],[1]!Table2[#Data],4,FALSE),"")</f>
        <v>0.4627</v>
      </c>
      <c r="N189">
        <f>IFERROR(VLOOKUP(BikeData[[#This Row],[Intents]],[1]!Table2[#Data],5,FALSE),"")</f>
        <v>0</v>
      </c>
      <c r="O189">
        <f>IFERROR(VLOOKUP(BikeData[[#This Row],[Intents]],[1]!Table2[#Data],6,FALSE),"")</f>
        <v>11</v>
      </c>
      <c r="P189">
        <f>IFERROR(VLOOKUP(BikeData[[#This Row],[Intents]],[1]!Table2[#Data],7,FALSE),"")</f>
        <v>11</v>
      </c>
      <c r="Q189" s="2" t="str">
        <f>CHOOSE(BikeData[[#This Row],[Season]],"Spring","Summer","Fall","Winter")</f>
        <v>Spring</v>
      </c>
      <c r="R189" s="2" t="str">
        <f>CHOOSE(BikeData[[#This Row],[Weathersituation]],"Clear","Mist","Light Rain","Heavy Rain")</f>
        <v>Clear</v>
      </c>
      <c r="S189" s="2" t="str">
        <f>TEXT(BikeData[[#This Row],[Date]],"mmm")</f>
        <v>Jan</v>
      </c>
    </row>
    <row r="190" spans="1:19" x14ac:dyDescent="0.3">
      <c r="A190">
        <v>189</v>
      </c>
      <c r="B190" s="5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 s="6">
        <f>BikeData[[#This Row],[Temperature]]</f>
        <v>0.1</v>
      </c>
      <c r="L190">
        <f>IFERROR(VLOOKUP(BikeData[[#This Row],[Intents]],[1]!Table2[#Data],3,FALSE),"")</f>
        <v>0.46</v>
      </c>
      <c r="M190">
        <f>IFERROR(VLOOKUP(BikeData[[#This Row],[Intents]],[1]!Table2[#Data],4,FALSE),"")</f>
        <v>0.41789999999999999</v>
      </c>
      <c r="N190">
        <f>IFERROR(VLOOKUP(BikeData[[#This Row],[Intents]],[1]!Table2[#Data],5,FALSE),"")</f>
        <v>0</v>
      </c>
      <c r="O190">
        <f>IFERROR(VLOOKUP(BikeData[[#This Row],[Intents]],[1]!Table2[#Data],6,FALSE),"")</f>
        <v>4</v>
      </c>
      <c r="P190">
        <f>IFERROR(VLOOKUP(BikeData[[#This Row],[Intents]],[1]!Table2[#Data],7,FALSE),"")</f>
        <v>4</v>
      </c>
      <c r="Q190" s="2" t="str">
        <f>CHOOSE(BikeData[[#This Row],[Season]],"Spring","Summer","Fall","Winter")</f>
        <v>Spring</v>
      </c>
      <c r="R190" s="2" t="str">
        <f>CHOOSE(BikeData[[#This Row],[Weathersituation]],"Clear","Mist","Light Rain","Heavy Rain")</f>
        <v>Clear</v>
      </c>
      <c r="S190" s="2" t="str">
        <f>TEXT(BikeData[[#This Row],[Date]],"mmm")</f>
        <v>Jan</v>
      </c>
    </row>
    <row r="191" spans="1:19" x14ac:dyDescent="0.3">
      <c r="A191">
        <v>190</v>
      </c>
      <c r="B191" s="5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 s="6">
        <f>BikeData[[#This Row],[Temperature]]</f>
        <v>0.08</v>
      </c>
      <c r="L191">
        <f>IFERROR(VLOOKUP(BikeData[[#This Row],[Intents]],[1]!Table2[#Data],3,FALSE),"")</f>
        <v>0.53</v>
      </c>
      <c r="M191">
        <f>IFERROR(VLOOKUP(BikeData[[#This Row],[Intents]],[1]!Table2[#Data],4,FALSE),"")</f>
        <v>0.19400000000000001</v>
      </c>
      <c r="N191">
        <f>IFERROR(VLOOKUP(BikeData[[#This Row],[Intents]],[1]!Table2[#Data],5,FALSE),"")</f>
        <v>0</v>
      </c>
      <c r="O191">
        <f>IFERROR(VLOOKUP(BikeData[[#This Row],[Intents]],[1]!Table2[#Data],6,FALSE),"")</f>
        <v>1</v>
      </c>
      <c r="P191">
        <f>IFERROR(VLOOKUP(BikeData[[#This Row],[Intents]],[1]!Table2[#Data],7,FALSE),"")</f>
        <v>1</v>
      </c>
      <c r="Q191" s="2" t="str">
        <f>CHOOSE(BikeData[[#This Row],[Season]],"Spring","Summer","Fall","Winter")</f>
        <v>Spring</v>
      </c>
      <c r="R191" s="2" t="str">
        <f>CHOOSE(BikeData[[#This Row],[Weathersituation]],"Clear","Mist","Light Rain","Heavy Rain")</f>
        <v>Clear</v>
      </c>
      <c r="S191" s="2" t="str">
        <f>TEXT(BikeData[[#This Row],[Date]],"mmm")</f>
        <v>Jan</v>
      </c>
    </row>
    <row r="192" spans="1:19" x14ac:dyDescent="0.3">
      <c r="A192">
        <v>191</v>
      </c>
      <c r="B192" s="5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 s="6">
        <f>BikeData[[#This Row],[Temperature]]</f>
        <v>0.08</v>
      </c>
      <c r="L192">
        <f>IFERROR(VLOOKUP(BikeData[[#This Row],[Intents]],[1]!Table2[#Data],3,FALSE),"")</f>
        <v>0.53</v>
      </c>
      <c r="M192">
        <f>IFERROR(VLOOKUP(BikeData[[#This Row],[Intents]],[1]!Table2[#Data],4,FALSE),"")</f>
        <v>0.19400000000000001</v>
      </c>
      <c r="N192">
        <f>IFERROR(VLOOKUP(BikeData[[#This Row],[Intents]],[1]!Table2[#Data],5,FALSE),"")</f>
        <v>0</v>
      </c>
      <c r="O192">
        <f>IFERROR(VLOOKUP(BikeData[[#This Row],[Intents]],[1]!Table2[#Data],6,FALSE),"")</f>
        <v>1</v>
      </c>
      <c r="P192">
        <f>IFERROR(VLOOKUP(BikeData[[#This Row],[Intents]],[1]!Table2[#Data],7,FALSE),"")</f>
        <v>1</v>
      </c>
      <c r="Q192" s="2" t="str">
        <f>CHOOSE(BikeData[[#This Row],[Season]],"Spring","Summer","Fall","Winter")</f>
        <v>Spring</v>
      </c>
      <c r="R192" s="2" t="str">
        <f>CHOOSE(BikeData[[#This Row],[Weathersituation]],"Clear","Mist","Light Rain","Heavy Rain")</f>
        <v>Clear</v>
      </c>
      <c r="S192" s="2" t="str">
        <f>TEXT(BikeData[[#This Row],[Date]],"mmm")</f>
        <v>Jan</v>
      </c>
    </row>
    <row r="193" spans="1:19" x14ac:dyDescent="0.3">
      <c r="A193">
        <v>192</v>
      </c>
      <c r="B193" s="5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 s="6">
        <f>BikeData[[#This Row],[Temperature]]</f>
        <v>0.1</v>
      </c>
      <c r="L193">
        <f>IFERROR(VLOOKUP(BikeData[[#This Row],[Intents]],[1]!Table2[#Data],3,FALSE),"")</f>
        <v>0.49</v>
      </c>
      <c r="M193">
        <f>IFERROR(VLOOKUP(BikeData[[#This Row],[Intents]],[1]!Table2[#Data],4,FALSE),"")</f>
        <v>0.28360000000000002</v>
      </c>
      <c r="N193">
        <f>IFERROR(VLOOKUP(BikeData[[#This Row],[Intents]],[1]!Table2[#Data],5,FALSE),"")</f>
        <v>0</v>
      </c>
      <c r="O193">
        <f>IFERROR(VLOOKUP(BikeData[[#This Row],[Intents]],[1]!Table2[#Data],6,FALSE),"")</f>
        <v>1</v>
      </c>
      <c r="P193">
        <f>IFERROR(VLOOKUP(BikeData[[#This Row],[Intents]],[1]!Table2[#Data],7,FALSE),"")</f>
        <v>1</v>
      </c>
      <c r="Q193" s="2" t="str">
        <f>CHOOSE(BikeData[[#This Row],[Season]],"Spring","Summer","Fall","Winter")</f>
        <v>Spring</v>
      </c>
      <c r="R193" s="2" t="str">
        <f>CHOOSE(BikeData[[#This Row],[Weathersituation]],"Clear","Mist","Light Rain","Heavy Rain")</f>
        <v>Clear</v>
      </c>
      <c r="S193" s="2" t="str">
        <f>TEXT(BikeData[[#This Row],[Date]],"mmm")</f>
        <v>Jan</v>
      </c>
    </row>
    <row r="194" spans="1:19" x14ac:dyDescent="0.3">
      <c r="A194">
        <v>193</v>
      </c>
      <c r="B194" s="5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 s="6">
        <f>BikeData[[#This Row],[Temperature]]</f>
        <v>0.08</v>
      </c>
      <c r="L194">
        <f>IFERROR(VLOOKUP(BikeData[[#This Row],[Intents]],[1]!Table2[#Data],3,FALSE),"")</f>
        <v>0.53</v>
      </c>
      <c r="M194">
        <f>IFERROR(VLOOKUP(BikeData[[#This Row],[Intents]],[1]!Table2[#Data],4,FALSE),"")</f>
        <v>0.19400000000000001</v>
      </c>
      <c r="N194">
        <f>IFERROR(VLOOKUP(BikeData[[#This Row],[Intents]],[1]!Table2[#Data],5,FALSE),"")</f>
        <v>1</v>
      </c>
      <c r="O194">
        <f>IFERROR(VLOOKUP(BikeData[[#This Row],[Intents]],[1]!Table2[#Data],6,FALSE),"")</f>
        <v>5</v>
      </c>
      <c r="P194">
        <f>IFERROR(VLOOKUP(BikeData[[#This Row],[Intents]],[1]!Table2[#Data],7,FALSE),"")</f>
        <v>6</v>
      </c>
      <c r="Q194" s="2" t="str">
        <f>CHOOSE(BikeData[[#This Row],[Season]],"Spring","Summer","Fall","Winter")</f>
        <v>Spring</v>
      </c>
      <c r="R194" s="2" t="str">
        <f>CHOOSE(BikeData[[#This Row],[Weathersituation]],"Clear","Mist","Light Rain","Heavy Rain")</f>
        <v>Clear</v>
      </c>
      <c r="S194" s="2" t="str">
        <f>TEXT(BikeData[[#This Row],[Date]],"mmm")</f>
        <v>Jan</v>
      </c>
    </row>
    <row r="195" spans="1:19" x14ac:dyDescent="0.3">
      <c r="A195">
        <v>194</v>
      </c>
      <c r="B195" s="5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 s="6">
        <f>BikeData[[#This Row],[Temperature]]</f>
        <v>0.1</v>
      </c>
      <c r="L195">
        <f>IFERROR(VLOOKUP(BikeData[[#This Row],[Intents]],[1]!Table2[#Data],3,FALSE),"")</f>
        <v>0.49</v>
      </c>
      <c r="M195">
        <f>IFERROR(VLOOKUP(BikeData[[#This Row],[Intents]],[1]!Table2[#Data],4,FALSE),"")</f>
        <v>0.28360000000000002</v>
      </c>
      <c r="N195">
        <f>IFERROR(VLOOKUP(BikeData[[#This Row],[Intents]],[1]!Table2[#Data],5,FALSE),"")</f>
        <v>0</v>
      </c>
      <c r="O195">
        <f>IFERROR(VLOOKUP(BikeData[[#This Row],[Intents]],[1]!Table2[#Data],6,FALSE),"")</f>
        <v>10</v>
      </c>
      <c r="P195">
        <f>IFERROR(VLOOKUP(BikeData[[#This Row],[Intents]],[1]!Table2[#Data],7,FALSE),"")</f>
        <v>10</v>
      </c>
      <c r="Q195" s="2" t="str">
        <f>CHOOSE(BikeData[[#This Row],[Season]],"Spring","Summer","Fall","Winter")</f>
        <v>Spring</v>
      </c>
      <c r="R195" s="2" t="str">
        <f>CHOOSE(BikeData[[#This Row],[Weathersituation]],"Clear","Mist","Light Rain","Heavy Rain")</f>
        <v>Clear</v>
      </c>
      <c r="S195" s="2" t="str">
        <f>TEXT(BikeData[[#This Row],[Date]],"mmm")</f>
        <v>Jan</v>
      </c>
    </row>
    <row r="196" spans="1:19" x14ac:dyDescent="0.3">
      <c r="A196">
        <v>195</v>
      </c>
      <c r="B196" s="5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 s="6">
        <f>BikeData[[#This Row],[Temperature]]</f>
        <v>0.12</v>
      </c>
      <c r="L196">
        <f>IFERROR(VLOOKUP(BikeData[[#This Row],[Intents]],[1]!Table2[#Data],3,FALSE),"")</f>
        <v>0.46</v>
      </c>
      <c r="M196">
        <f>IFERROR(VLOOKUP(BikeData[[#This Row],[Intents]],[1]!Table2[#Data],4,FALSE),"")</f>
        <v>0.52239999999999998</v>
      </c>
      <c r="N196">
        <f>IFERROR(VLOOKUP(BikeData[[#This Row],[Intents]],[1]!Table2[#Data],5,FALSE),"")</f>
        <v>0</v>
      </c>
      <c r="O196">
        <f>IFERROR(VLOOKUP(BikeData[[#This Row],[Intents]],[1]!Table2[#Data],6,FALSE),"")</f>
        <v>19</v>
      </c>
      <c r="P196">
        <f>IFERROR(VLOOKUP(BikeData[[#This Row],[Intents]],[1]!Table2[#Data],7,FALSE),"")</f>
        <v>19</v>
      </c>
      <c r="Q196" s="2" t="str">
        <f>CHOOSE(BikeData[[#This Row],[Season]],"Spring","Summer","Fall","Winter")</f>
        <v>Spring</v>
      </c>
      <c r="R196" s="2" t="str">
        <f>CHOOSE(BikeData[[#This Row],[Weathersituation]],"Clear","Mist","Light Rain","Heavy Rain")</f>
        <v>Clear</v>
      </c>
      <c r="S196" s="2" t="str">
        <f>TEXT(BikeData[[#This Row],[Date]],"mmm")</f>
        <v>Jan</v>
      </c>
    </row>
    <row r="197" spans="1:19" x14ac:dyDescent="0.3">
      <c r="A197">
        <v>196</v>
      </c>
      <c r="B197" s="5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 s="6">
        <f>BikeData[[#This Row],[Temperature]]</f>
        <v>0.14000000000000001</v>
      </c>
      <c r="L197">
        <f>IFERROR(VLOOKUP(BikeData[[#This Row],[Intents]],[1]!Table2[#Data],3,FALSE),"")</f>
        <v>0.43</v>
      </c>
      <c r="M197">
        <f>IFERROR(VLOOKUP(BikeData[[#This Row],[Intents]],[1]!Table2[#Data],4,FALSE),"")</f>
        <v>0.3881</v>
      </c>
      <c r="N197">
        <f>IFERROR(VLOOKUP(BikeData[[#This Row],[Intents]],[1]!Table2[#Data],5,FALSE),"")</f>
        <v>0</v>
      </c>
      <c r="O197">
        <f>IFERROR(VLOOKUP(BikeData[[#This Row],[Intents]],[1]!Table2[#Data],6,FALSE),"")</f>
        <v>49</v>
      </c>
      <c r="P197">
        <f>IFERROR(VLOOKUP(BikeData[[#This Row],[Intents]],[1]!Table2[#Data],7,FALSE),"")</f>
        <v>49</v>
      </c>
      <c r="Q197" s="2" t="str">
        <f>CHOOSE(BikeData[[#This Row],[Season]],"Spring","Summer","Fall","Winter")</f>
        <v>Spring</v>
      </c>
      <c r="R197" s="2" t="str">
        <f>CHOOSE(BikeData[[#This Row],[Weathersituation]],"Clear","Mist","Light Rain","Heavy Rain")</f>
        <v>Clear</v>
      </c>
      <c r="S197" s="2" t="str">
        <f>TEXT(BikeData[[#This Row],[Date]],"mmm")</f>
        <v>Jan</v>
      </c>
    </row>
    <row r="198" spans="1:19" x14ac:dyDescent="0.3">
      <c r="A198">
        <v>197</v>
      </c>
      <c r="B198" s="5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 s="6">
        <f>BikeData[[#This Row],[Temperature]]</f>
        <v>0.16</v>
      </c>
      <c r="L198">
        <f>IFERROR(VLOOKUP(BikeData[[#This Row],[Intents]],[1]!Table2[#Data],3,FALSE),"")</f>
        <v>0.4</v>
      </c>
      <c r="M198">
        <f>IFERROR(VLOOKUP(BikeData[[#This Row],[Intents]],[1]!Table2[#Data],4,FALSE),"")</f>
        <v>0.52239999999999998</v>
      </c>
      <c r="N198">
        <f>IFERROR(VLOOKUP(BikeData[[#This Row],[Intents]],[1]!Table2[#Data],5,FALSE),"")</f>
        <v>2</v>
      </c>
      <c r="O198">
        <f>IFERROR(VLOOKUP(BikeData[[#This Row],[Intents]],[1]!Table2[#Data],6,FALSE),"")</f>
        <v>47</v>
      </c>
      <c r="P198">
        <f>IFERROR(VLOOKUP(BikeData[[#This Row],[Intents]],[1]!Table2[#Data],7,FALSE),"")</f>
        <v>49</v>
      </c>
      <c r="Q198" s="2" t="str">
        <f>CHOOSE(BikeData[[#This Row],[Season]],"Spring","Summer","Fall","Winter")</f>
        <v>Spring</v>
      </c>
      <c r="R198" s="2" t="str">
        <f>CHOOSE(BikeData[[#This Row],[Weathersituation]],"Clear","Mist","Light Rain","Heavy Rain")</f>
        <v>Clear</v>
      </c>
      <c r="S198" s="2" t="str">
        <f>TEXT(BikeData[[#This Row],[Date]],"mmm")</f>
        <v>Jan</v>
      </c>
    </row>
    <row r="199" spans="1:19" x14ac:dyDescent="0.3">
      <c r="A199">
        <v>198</v>
      </c>
      <c r="B199" s="5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 s="6">
        <f>BikeData[[#This Row],[Temperature]]</f>
        <v>0.18</v>
      </c>
      <c r="L199">
        <f>IFERROR(VLOOKUP(BikeData[[#This Row],[Intents]],[1]!Table2[#Data],3,FALSE),"")</f>
        <v>0.37</v>
      </c>
      <c r="M199">
        <f>IFERROR(VLOOKUP(BikeData[[#This Row],[Intents]],[1]!Table2[#Data],4,FALSE),"")</f>
        <v>0.44779999999999998</v>
      </c>
      <c r="N199">
        <f>IFERROR(VLOOKUP(BikeData[[#This Row],[Intents]],[1]!Table2[#Data],5,FALSE),"")</f>
        <v>4</v>
      </c>
      <c r="O199">
        <f>IFERROR(VLOOKUP(BikeData[[#This Row],[Intents]],[1]!Table2[#Data],6,FALSE),"")</f>
        <v>79</v>
      </c>
      <c r="P199">
        <f>IFERROR(VLOOKUP(BikeData[[#This Row],[Intents]],[1]!Table2[#Data],7,FALSE),"")</f>
        <v>83</v>
      </c>
      <c r="Q199" s="2" t="str">
        <f>CHOOSE(BikeData[[#This Row],[Season]],"Spring","Summer","Fall","Winter")</f>
        <v>Spring</v>
      </c>
      <c r="R199" s="2" t="str">
        <f>CHOOSE(BikeData[[#This Row],[Weathersituation]],"Clear","Mist","Light Rain","Heavy Rain")</f>
        <v>Clear</v>
      </c>
      <c r="S199" s="2" t="str">
        <f>TEXT(BikeData[[#This Row],[Date]],"mmm")</f>
        <v>Jan</v>
      </c>
    </row>
    <row r="200" spans="1:19" x14ac:dyDescent="0.3">
      <c r="A200">
        <v>199</v>
      </c>
      <c r="B200" s="5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 s="6">
        <f>BikeData[[#This Row],[Temperature]]</f>
        <v>0.2</v>
      </c>
      <c r="L200">
        <f>IFERROR(VLOOKUP(BikeData[[#This Row],[Intents]],[1]!Table2[#Data],3,FALSE),"")</f>
        <v>0.34</v>
      </c>
      <c r="M200">
        <f>IFERROR(VLOOKUP(BikeData[[#This Row],[Intents]],[1]!Table2[#Data],4,FALSE),"")</f>
        <v>0.44779999999999998</v>
      </c>
      <c r="N200">
        <f>IFERROR(VLOOKUP(BikeData[[#This Row],[Intents]],[1]!Table2[#Data],5,FALSE),"")</f>
        <v>6</v>
      </c>
      <c r="O200">
        <f>IFERROR(VLOOKUP(BikeData[[#This Row],[Intents]],[1]!Table2[#Data],6,FALSE),"")</f>
        <v>69</v>
      </c>
      <c r="P200">
        <f>IFERROR(VLOOKUP(BikeData[[#This Row],[Intents]],[1]!Table2[#Data],7,FALSE),"")</f>
        <v>75</v>
      </c>
      <c r="Q200" s="2" t="str">
        <f>CHOOSE(BikeData[[#This Row],[Season]],"Spring","Summer","Fall","Winter")</f>
        <v>Spring</v>
      </c>
      <c r="R200" s="2" t="str">
        <f>CHOOSE(BikeData[[#This Row],[Weathersituation]],"Clear","Mist","Light Rain","Heavy Rain")</f>
        <v>Clear</v>
      </c>
      <c r="S200" s="2" t="str">
        <f>TEXT(BikeData[[#This Row],[Date]],"mmm")</f>
        <v>Jan</v>
      </c>
    </row>
    <row r="201" spans="1:19" x14ac:dyDescent="0.3">
      <c r="A201">
        <v>200</v>
      </c>
      <c r="B201" s="5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 s="6">
        <f>BikeData[[#This Row],[Temperature]]</f>
        <v>0.22</v>
      </c>
      <c r="L201">
        <f>IFERROR(VLOOKUP(BikeData[[#This Row],[Intents]],[1]!Table2[#Data],3,FALSE),"")</f>
        <v>0.32</v>
      </c>
      <c r="M201">
        <f>IFERROR(VLOOKUP(BikeData[[#This Row],[Intents]],[1]!Table2[#Data],4,FALSE),"")</f>
        <v>0.4627</v>
      </c>
      <c r="N201">
        <f>IFERROR(VLOOKUP(BikeData[[#This Row],[Intents]],[1]!Table2[#Data],5,FALSE),"")</f>
        <v>8</v>
      </c>
      <c r="O201">
        <f>IFERROR(VLOOKUP(BikeData[[#This Row],[Intents]],[1]!Table2[#Data],6,FALSE),"")</f>
        <v>64</v>
      </c>
      <c r="P201">
        <f>IFERROR(VLOOKUP(BikeData[[#This Row],[Intents]],[1]!Table2[#Data],7,FALSE),"")</f>
        <v>72</v>
      </c>
      <c r="Q201" s="2" t="str">
        <f>CHOOSE(BikeData[[#This Row],[Season]],"Spring","Summer","Fall","Winter")</f>
        <v>Spring</v>
      </c>
      <c r="R201" s="2" t="str">
        <f>CHOOSE(BikeData[[#This Row],[Weathersituation]],"Clear","Mist","Light Rain","Heavy Rain")</f>
        <v>Clear</v>
      </c>
      <c r="S201" s="2" t="str">
        <f>TEXT(BikeData[[#This Row],[Date]],"mmm")</f>
        <v>Jan</v>
      </c>
    </row>
    <row r="202" spans="1:19" x14ac:dyDescent="0.3">
      <c r="A202">
        <v>201</v>
      </c>
      <c r="B202" s="5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 s="6">
        <f>BikeData[[#This Row],[Temperature]]</f>
        <v>0.22</v>
      </c>
      <c r="L202">
        <f>IFERROR(VLOOKUP(BikeData[[#This Row],[Intents]],[1]!Table2[#Data],3,FALSE),"")</f>
        <v>0.35</v>
      </c>
      <c r="M202">
        <f>IFERROR(VLOOKUP(BikeData[[#This Row],[Intents]],[1]!Table2[#Data],4,FALSE),"")</f>
        <v>0.35820000000000002</v>
      </c>
      <c r="N202">
        <f>IFERROR(VLOOKUP(BikeData[[#This Row],[Intents]],[1]!Table2[#Data],5,FALSE),"")</f>
        <v>5</v>
      </c>
      <c r="O202">
        <f>IFERROR(VLOOKUP(BikeData[[#This Row],[Intents]],[1]!Table2[#Data],6,FALSE),"")</f>
        <v>77</v>
      </c>
      <c r="P202">
        <f>IFERROR(VLOOKUP(BikeData[[#This Row],[Intents]],[1]!Table2[#Data],7,FALSE),"")</f>
        <v>82</v>
      </c>
      <c r="Q202" s="2" t="str">
        <f>CHOOSE(BikeData[[#This Row],[Season]],"Spring","Summer","Fall","Winter")</f>
        <v>Spring</v>
      </c>
      <c r="R202" s="2" t="str">
        <f>CHOOSE(BikeData[[#This Row],[Weathersituation]],"Clear","Mist","Light Rain","Heavy Rain")</f>
        <v>Clear</v>
      </c>
      <c r="S202" s="2" t="str">
        <f>TEXT(BikeData[[#This Row],[Date]],"mmm")</f>
        <v>Jan</v>
      </c>
    </row>
    <row r="203" spans="1:19" x14ac:dyDescent="0.3">
      <c r="A203">
        <v>202</v>
      </c>
      <c r="B203" s="5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 s="6">
        <f>BikeData[[#This Row],[Temperature]]</f>
        <v>0.2</v>
      </c>
      <c r="L203">
        <f>IFERROR(VLOOKUP(BikeData[[#This Row],[Intents]],[1]!Table2[#Data],3,FALSE),"")</f>
        <v>0.34</v>
      </c>
      <c r="M203">
        <f>IFERROR(VLOOKUP(BikeData[[#This Row],[Intents]],[1]!Table2[#Data],4,FALSE),"")</f>
        <v>0.44779999999999998</v>
      </c>
      <c r="N203">
        <f>IFERROR(VLOOKUP(BikeData[[#This Row],[Intents]],[1]!Table2[#Data],5,FALSE),"")</f>
        <v>13</v>
      </c>
      <c r="O203">
        <f>IFERROR(VLOOKUP(BikeData[[#This Row],[Intents]],[1]!Table2[#Data],6,FALSE),"")</f>
        <v>79</v>
      </c>
      <c r="P203">
        <f>IFERROR(VLOOKUP(BikeData[[#This Row],[Intents]],[1]!Table2[#Data],7,FALSE),"")</f>
        <v>92</v>
      </c>
      <c r="Q203" s="2" t="str">
        <f>CHOOSE(BikeData[[#This Row],[Season]],"Spring","Summer","Fall","Winter")</f>
        <v>Spring</v>
      </c>
      <c r="R203" s="2" t="str">
        <f>CHOOSE(BikeData[[#This Row],[Weathersituation]],"Clear","Mist","Light Rain","Heavy Rain")</f>
        <v>Clear</v>
      </c>
      <c r="S203" s="2" t="str">
        <f>TEXT(BikeData[[#This Row],[Date]],"mmm")</f>
        <v>Jan</v>
      </c>
    </row>
    <row r="204" spans="1:19" x14ac:dyDescent="0.3">
      <c r="A204">
        <v>203</v>
      </c>
      <c r="B204" s="5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 s="6">
        <f>BikeData[[#This Row],[Temperature]]</f>
        <v>0.18</v>
      </c>
      <c r="L204">
        <f>IFERROR(VLOOKUP(BikeData[[#This Row],[Intents]],[1]!Table2[#Data],3,FALSE),"")</f>
        <v>0.37</v>
      </c>
      <c r="M204">
        <f>IFERROR(VLOOKUP(BikeData[[#This Row],[Intents]],[1]!Table2[#Data],4,FALSE),"")</f>
        <v>0.3881</v>
      </c>
      <c r="N204">
        <f>IFERROR(VLOOKUP(BikeData[[#This Row],[Intents]],[1]!Table2[#Data],5,FALSE),"")</f>
        <v>3</v>
      </c>
      <c r="O204">
        <f>IFERROR(VLOOKUP(BikeData[[#This Row],[Intents]],[1]!Table2[#Data],6,FALSE),"")</f>
        <v>59</v>
      </c>
      <c r="P204">
        <f>IFERROR(VLOOKUP(BikeData[[#This Row],[Intents]],[1]!Table2[#Data],7,FALSE),"")</f>
        <v>62</v>
      </c>
      <c r="Q204" s="2" t="str">
        <f>CHOOSE(BikeData[[#This Row],[Season]],"Spring","Summer","Fall","Winter")</f>
        <v>Spring</v>
      </c>
      <c r="R204" s="2" t="str">
        <f>CHOOSE(BikeData[[#This Row],[Weathersituation]],"Clear","Mist","Light Rain","Heavy Rain")</f>
        <v>Clear</v>
      </c>
      <c r="S204" s="2" t="str">
        <f>TEXT(BikeData[[#This Row],[Date]],"mmm")</f>
        <v>Jan</v>
      </c>
    </row>
    <row r="205" spans="1:19" x14ac:dyDescent="0.3">
      <c r="A205">
        <v>204</v>
      </c>
      <c r="B205" s="5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 s="6">
        <f>BikeData[[#This Row],[Temperature]]</f>
        <v>0.16</v>
      </c>
      <c r="L205">
        <f>IFERROR(VLOOKUP(BikeData[[#This Row],[Intents]],[1]!Table2[#Data],3,FALSE),"")</f>
        <v>0.4</v>
      </c>
      <c r="M205">
        <f>IFERROR(VLOOKUP(BikeData[[#This Row],[Intents]],[1]!Table2[#Data],4,FALSE),"")</f>
        <v>0.32840000000000003</v>
      </c>
      <c r="N205">
        <f>IFERROR(VLOOKUP(BikeData[[#This Row],[Intents]],[1]!Table2[#Data],5,FALSE),"")</f>
        <v>4</v>
      </c>
      <c r="O205">
        <f>IFERROR(VLOOKUP(BikeData[[#This Row],[Intents]],[1]!Table2[#Data],6,FALSE),"")</f>
        <v>44</v>
      </c>
      <c r="P205">
        <f>IFERROR(VLOOKUP(BikeData[[#This Row],[Intents]],[1]!Table2[#Data],7,FALSE),"")</f>
        <v>48</v>
      </c>
      <c r="Q205" s="2" t="str">
        <f>CHOOSE(BikeData[[#This Row],[Season]],"Spring","Summer","Fall","Winter")</f>
        <v>Spring</v>
      </c>
      <c r="R205" s="2" t="str">
        <f>CHOOSE(BikeData[[#This Row],[Weathersituation]],"Clear","Mist","Light Rain","Heavy Rain")</f>
        <v>Clear</v>
      </c>
      <c r="S205" s="2" t="str">
        <f>TEXT(BikeData[[#This Row],[Date]],"mmm")</f>
        <v>Jan</v>
      </c>
    </row>
    <row r="206" spans="1:19" x14ac:dyDescent="0.3">
      <c r="A206">
        <v>205</v>
      </c>
      <c r="B206" s="5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 s="6">
        <f>BikeData[[#This Row],[Temperature]]</f>
        <v>0.16</v>
      </c>
      <c r="L206">
        <f>IFERROR(VLOOKUP(BikeData[[#This Row],[Intents]],[1]!Table2[#Data],3,FALSE),"")</f>
        <v>0.43</v>
      </c>
      <c r="M206">
        <f>IFERROR(VLOOKUP(BikeData[[#This Row],[Intents]],[1]!Table2[#Data],4,FALSE),"")</f>
        <v>0.32840000000000003</v>
      </c>
      <c r="N206">
        <f>IFERROR(VLOOKUP(BikeData[[#This Row],[Intents]],[1]!Table2[#Data],5,FALSE),"")</f>
        <v>1</v>
      </c>
      <c r="O206">
        <f>IFERROR(VLOOKUP(BikeData[[#This Row],[Intents]],[1]!Table2[#Data],6,FALSE),"")</f>
        <v>40</v>
      </c>
      <c r="P206">
        <f>IFERROR(VLOOKUP(BikeData[[#This Row],[Intents]],[1]!Table2[#Data],7,FALSE),"")</f>
        <v>41</v>
      </c>
      <c r="Q206" s="2" t="str">
        <f>CHOOSE(BikeData[[#This Row],[Season]],"Spring","Summer","Fall","Winter")</f>
        <v>Spring</v>
      </c>
      <c r="R206" s="2" t="str">
        <f>CHOOSE(BikeData[[#This Row],[Weathersituation]],"Clear","Mist","Light Rain","Heavy Rain")</f>
        <v>Clear</v>
      </c>
      <c r="S206" s="2" t="str">
        <f>TEXT(BikeData[[#This Row],[Date]],"mmm")</f>
        <v>Jan</v>
      </c>
    </row>
    <row r="207" spans="1:19" x14ac:dyDescent="0.3">
      <c r="A207">
        <v>206</v>
      </c>
      <c r="B207" s="5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 s="6">
        <f>BikeData[[#This Row],[Temperature]]</f>
        <v>0.14000000000000001</v>
      </c>
      <c r="L207">
        <f>IFERROR(VLOOKUP(BikeData[[#This Row],[Intents]],[1]!Table2[#Data],3,FALSE),"")</f>
        <v>0.46</v>
      </c>
      <c r="M207">
        <f>IFERROR(VLOOKUP(BikeData[[#This Row],[Intents]],[1]!Table2[#Data],4,FALSE),"")</f>
        <v>0.25369999999999998</v>
      </c>
      <c r="N207">
        <f>IFERROR(VLOOKUP(BikeData[[#This Row],[Intents]],[1]!Table2[#Data],5,FALSE),"")</f>
        <v>0</v>
      </c>
      <c r="O207">
        <f>IFERROR(VLOOKUP(BikeData[[#This Row],[Intents]],[1]!Table2[#Data],6,FALSE),"")</f>
        <v>38</v>
      </c>
      <c r="P207">
        <f>IFERROR(VLOOKUP(BikeData[[#This Row],[Intents]],[1]!Table2[#Data],7,FALSE),"")</f>
        <v>38</v>
      </c>
      <c r="Q207" s="2" t="str">
        <f>CHOOSE(BikeData[[#This Row],[Season]],"Spring","Summer","Fall","Winter")</f>
        <v>Spring</v>
      </c>
      <c r="R207" s="2" t="str">
        <f>CHOOSE(BikeData[[#This Row],[Weathersituation]],"Clear","Mist","Light Rain","Heavy Rain")</f>
        <v>Clear</v>
      </c>
      <c r="S207" s="2" t="str">
        <f>TEXT(BikeData[[#This Row],[Date]],"mmm")</f>
        <v>Jan</v>
      </c>
    </row>
    <row r="208" spans="1:19" x14ac:dyDescent="0.3">
      <c r="A208">
        <v>207</v>
      </c>
      <c r="B208" s="5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 s="6">
        <f>BikeData[[#This Row],[Temperature]]</f>
        <v>0.14000000000000001</v>
      </c>
      <c r="L208">
        <f>IFERROR(VLOOKUP(BikeData[[#This Row],[Intents]],[1]!Table2[#Data],3,FALSE),"")</f>
        <v>0.46</v>
      </c>
      <c r="M208">
        <f>IFERROR(VLOOKUP(BikeData[[#This Row],[Intents]],[1]!Table2[#Data],4,FALSE),"")</f>
        <v>0.41789999999999999</v>
      </c>
      <c r="N208">
        <f>IFERROR(VLOOKUP(BikeData[[#This Row],[Intents]],[1]!Table2[#Data],5,FALSE),"")</f>
        <v>1</v>
      </c>
      <c r="O208">
        <f>IFERROR(VLOOKUP(BikeData[[#This Row],[Intents]],[1]!Table2[#Data],6,FALSE),"")</f>
        <v>19</v>
      </c>
      <c r="P208">
        <f>IFERROR(VLOOKUP(BikeData[[#This Row],[Intents]],[1]!Table2[#Data],7,FALSE),"")</f>
        <v>20</v>
      </c>
      <c r="Q208" s="2" t="str">
        <f>CHOOSE(BikeData[[#This Row],[Season]],"Spring","Summer","Fall","Winter")</f>
        <v>Spring</v>
      </c>
      <c r="R208" s="2" t="str">
        <f>CHOOSE(BikeData[[#This Row],[Weathersituation]],"Clear","Mist","Light Rain","Heavy Rain")</f>
        <v>Clear</v>
      </c>
      <c r="S208" s="2" t="str">
        <f>TEXT(BikeData[[#This Row],[Date]],"mmm")</f>
        <v>Jan</v>
      </c>
    </row>
    <row r="209" spans="1:19" x14ac:dyDescent="0.3">
      <c r="A209">
        <v>208</v>
      </c>
      <c r="B209" s="5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 s="6">
        <f>BikeData[[#This Row],[Temperature]]</f>
        <v>0.14000000000000001</v>
      </c>
      <c r="L209">
        <f>IFERROR(VLOOKUP(BikeData[[#This Row],[Intents]],[1]!Table2[#Data],3,FALSE),"")</f>
        <v>0.46</v>
      </c>
      <c r="M209">
        <f>IFERROR(VLOOKUP(BikeData[[#This Row],[Intents]],[1]!Table2[#Data],4,FALSE),"")</f>
        <v>0.29849999999999999</v>
      </c>
      <c r="N209">
        <f>IFERROR(VLOOKUP(BikeData[[#This Row],[Intents]],[1]!Table2[#Data],5,FALSE),"")</f>
        <v>5</v>
      </c>
      <c r="O209">
        <f>IFERROR(VLOOKUP(BikeData[[#This Row],[Intents]],[1]!Table2[#Data],6,FALSE),"")</f>
        <v>10</v>
      </c>
      <c r="P209">
        <f>IFERROR(VLOOKUP(BikeData[[#This Row],[Intents]],[1]!Table2[#Data],7,FALSE),"")</f>
        <v>15</v>
      </c>
      <c r="Q209" s="2" t="str">
        <f>CHOOSE(BikeData[[#This Row],[Season]],"Spring","Summer","Fall","Winter")</f>
        <v>Spring</v>
      </c>
      <c r="R209" s="2" t="str">
        <f>CHOOSE(BikeData[[#This Row],[Weathersituation]],"Clear","Mist","Light Rain","Heavy Rain")</f>
        <v>Clear</v>
      </c>
      <c r="S209" s="2" t="str">
        <f>TEXT(BikeData[[#This Row],[Date]],"mmm")</f>
        <v>Jan</v>
      </c>
    </row>
    <row r="210" spans="1:19" x14ac:dyDescent="0.3">
      <c r="A210">
        <v>209</v>
      </c>
      <c r="B210" s="5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 s="6">
        <f>BikeData[[#This Row],[Temperature]]</f>
        <v>0.12</v>
      </c>
      <c r="L210">
        <f>IFERROR(VLOOKUP(BikeData[[#This Row],[Intents]],[1]!Table2[#Data],3,FALSE),"")</f>
        <v>0.5</v>
      </c>
      <c r="M210">
        <f>IFERROR(VLOOKUP(BikeData[[#This Row],[Intents]],[1]!Table2[#Data],4,FALSE),"")</f>
        <v>0.19400000000000001</v>
      </c>
      <c r="N210">
        <f>IFERROR(VLOOKUP(BikeData[[#This Row],[Intents]],[1]!Table2[#Data],5,FALSE),"")</f>
        <v>0</v>
      </c>
      <c r="O210">
        <f>IFERROR(VLOOKUP(BikeData[[#This Row],[Intents]],[1]!Table2[#Data],6,FALSE),"")</f>
        <v>6</v>
      </c>
      <c r="P210">
        <f>IFERROR(VLOOKUP(BikeData[[#This Row],[Intents]],[1]!Table2[#Data],7,FALSE),"")</f>
        <v>6</v>
      </c>
      <c r="Q210" s="2" t="str">
        <f>CHOOSE(BikeData[[#This Row],[Season]],"Spring","Summer","Fall","Winter")</f>
        <v>Spring</v>
      </c>
      <c r="R210" s="2" t="str">
        <f>CHOOSE(BikeData[[#This Row],[Weathersituation]],"Clear","Mist","Light Rain","Heavy Rain")</f>
        <v>Clear</v>
      </c>
      <c r="S210" s="2" t="str">
        <f>TEXT(BikeData[[#This Row],[Date]],"mmm")</f>
        <v>Jan</v>
      </c>
    </row>
    <row r="211" spans="1:19" x14ac:dyDescent="0.3">
      <c r="A211">
        <v>210</v>
      </c>
      <c r="B211" s="5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 s="6">
        <f>BikeData[[#This Row],[Temperature]]</f>
        <v>0.12</v>
      </c>
      <c r="L211">
        <f>IFERROR(VLOOKUP(BikeData[[#This Row],[Intents]],[1]!Table2[#Data],3,FALSE),"")</f>
        <v>0.5</v>
      </c>
      <c r="M211">
        <f>IFERROR(VLOOKUP(BikeData[[#This Row],[Intents]],[1]!Table2[#Data],4,FALSE),"")</f>
        <v>0.28360000000000002</v>
      </c>
      <c r="N211">
        <f>IFERROR(VLOOKUP(BikeData[[#This Row],[Intents]],[1]!Table2[#Data],5,FALSE),"")</f>
        <v>2</v>
      </c>
      <c r="O211">
        <f>IFERROR(VLOOKUP(BikeData[[#This Row],[Intents]],[1]!Table2[#Data],6,FALSE),"")</f>
        <v>3</v>
      </c>
      <c r="P211">
        <f>IFERROR(VLOOKUP(BikeData[[#This Row],[Intents]],[1]!Table2[#Data],7,FALSE),"")</f>
        <v>5</v>
      </c>
      <c r="Q211" s="2" t="str">
        <f>CHOOSE(BikeData[[#This Row],[Season]],"Spring","Summer","Fall","Winter")</f>
        <v>Spring</v>
      </c>
      <c r="R211" s="2" t="str">
        <f>CHOOSE(BikeData[[#This Row],[Weathersituation]],"Clear","Mist","Light Rain","Heavy Rain")</f>
        <v>Clear</v>
      </c>
      <c r="S211" s="2" t="str">
        <f>TEXT(BikeData[[#This Row],[Date]],"mmm")</f>
        <v>Jan</v>
      </c>
    </row>
    <row r="212" spans="1:19" x14ac:dyDescent="0.3">
      <c r="A212">
        <v>211</v>
      </c>
      <c r="B212" s="5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 s="6">
        <f>BikeData[[#This Row],[Temperature]]</f>
        <v>0.12</v>
      </c>
      <c r="L212">
        <f>IFERROR(VLOOKUP(BikeData[[#This Row],[Intents]],[1]!Table2[#Data],3,FALSE),"")</f>
        <v>0.5</v>
      </c>
      <c r="M212">
        <f>IFERROR(VLOOKUP(BikeData[[#This Row],[Intents]],[1]!Table2[#Data],4,FALSE),"")</f>
        <v>0.28360000000000002</v>
      </c>
      <c r="N212">
        <f>IFERROR(VLOOKUP(BikeData[[#This Row],[Intents]],[1]!Table2[#Data],5,FALSE),"")</f>
        <v>1</v>
      </c>
      <c r="O212">
        <f>IFERROR(VLOOKUP(BikeData[[#This Row],[Intents]],[1]!Table2[#Data],6,FALSE),"")</f>
        <v>0</v>
      </c>
      <c r="P212">
        <f>IFERROR(VLOOKUP(BikeData[[#This Row],[Intents]],[1]!Table2[#Data],7,FALSE),"")</f>
        <v>1</v>
      </c>
      <c r="Q212" s="2" t="str">
        <f>CHOOSE(BikeData[[#This Row],[Season]],"Spring","Summer","Fall","Winter")</f>
        <v>Spring</v>
      </c>
      <c r="R212" s="2" t="str">
        <f>CHOOSE(BikeData[[#This Row],[Weathersituation]],"Clear","Mist","Light Rain","Heavy Rain")</f>
        <v>Clear</v>
      </c>
      <c r="S212" s="2" t="str">
        <f>TEXT(BikeData[[#This Row],[Date]],"mmm")</f>
        <v>Jan</v>
      </c>
    </row>
    <row r="213" spans="1:19" x14ac:dyDescent="0.3">
      <c r="A213">
        <v>212</v>
      </c>
      <c r="B213" s="5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 s="6">
        <f>BikeData[[#This Row],[Temperature]]</f>
        <v>0.12</v>
      </c>
      <c r="L213">
        <f>IFERROR(VLOOKUP(BikeData[[#This Row],[Intents]],[1]!Table2[#Data],3,FALSE),"")</f>
        <v>0.5</v>
      </c>
      <c r="M213">
        <f>IFERROR(VLOOKUP(BikeData[[#This Row],[Intents]],[1]!Table2[#Data],4,FALSE),"")</f>
        <v>0.22389999999999999</v>
      </c>
      <c r="N213">
        <f>IFERROR(VLOOKUP(BikeData[[#This Row],[Intents]],[1]!Table2[#Data],5,FALSE),"")</f>
        <v>0</v>
      </c>
      <c r="O213">
        <f>IFERROR(VLOOKUP(BikeData[[#This Row],[Intents]],[1]!Table2[#Data],6,FALSE),"")</f>
        <v>3</v>
      </c>
      <c r="P213">
        <f>IFERROR(VLOOKUP(BikeData[[#This Row],[Intents]],[1]!Table2[#Data],7,FALSE),"")</f>
        <v>3</v>
      </c>
      <c r="Q213" s="2" t="str">
        <f>CHOOSE(BikeData[[#This Row],[Season]],"Spring","Summer","Fall","Winter")</f>
        <v>Spring</v>
      </c>
      <c r="R213" s="2" t="str">
        <f>CHOOSE(BikeData[[#This Row],[Weathersituation]],"Clear","Mist","Light Rain","Heavy Rain")</f>
        <v>Clear</v>
      </c>
      <c r="S213" s="2" t="str">
        <f>TEXT(BikeData[[#This Row],[Date]],"mmm")</f>
        <v>Jan</v>
      </c>
    </row>
    <row r="214" spans="1:19" x14ac:dyDescent="0.3">
      <c r="A214">
        <v>213</v>
      </c>
      <c r="B214" s="5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 s="6">
        <f>BikeData[[#This Row],[Temperature]]</f>
        <v>0.12</v>
      </c>
      <c r="L214">
        <f>IFERROR(VLOOKUP(BikeData[[#This Row],[Intents]],[1]!Table2[#Data],3,FALSE),"")</f>
        <v>0.5</v>
      </c>
      <c r="M214">
        <f>IFERROR(VLOOKUP(BikeData[[#This Row],[Intents]],[1]!Table2[#Data],4,FALSE),"")</f>
        <v>0.22389999999999999</v>
      </c>
      <c r="N214">
        <f>IFERROR(VLOOKUP(BikeData[[#This Row],[Intents]],[1]!Table2[#Data],5,FALSE),"")</f>
        <v>0</v>
      </c>
      <c r="O214">
        <f>IFERROR(VLOOKUP(BikeData[[#This Row],[Intents]],[1]!Table2[#Data],6,FALSE),"")</f>
        <v>1</v>
      </c>
      <c r="P214">
        <f>IFERROR(VLOOKUP(BikeData[[#This Row],[Intents]],[1]!Table2[#Data],7,FALSE),"")</f>
        <v>1</v>
      </c>
      <c r="Q214" s="2" t="str">
        <f>CHOOSE(BikeData[[#This Row],[Season]],"Spring","Summer","Fall","Winter")</f>
        <v>Spring</v>
      </c>
      <c r="R214" s="2" t="str">
        <f>CHOOSE(BikeData[[#This Row],[Weathersituation]],"Clear","Mist","Light Rain","Heavy Rain")</f>
        <v>Clear</v>
      </c>
      <c r="S214" s="2" t="str">
        <f>TEXT(BikeData[[#This Row],[Date]],"mmm")</f>
        <v>Jan</v>
      </c>
    </row>
    <row r="215" spans="1:19" x14ac:dyDescent="0.3">
      <c r="A215">
        <v>214</v>
      </c>
      <c r="B215" s="5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 s="6">
        <f>BikeData[[#This Row],[Temperature]]</f>
        <v>0.1</v>
      </c>
      <c r="L215">
        <f>IFERROR(VLOOKUP(BikeData[[#This Row],[Intents]],[1]!Table2[#Data],3,FALSE),"")</f>
        <v>0.54</v>
      </c>
      <c r="M215">
        <f>IFERROR(VLOOKUP(BikeData[[#This Row],[Intents]],[1]!Table2[#Data],4,FALSE),"")</f>
        <v>0.1343</v>
      </c>
      <c r="N215">
        <f>IFERROR(VLOOKUP(BikeData[[#This Row],[Intents]],[1]!Table2[#Data],5,FALSE),"")</f>
        <v>1</v>
      </c>
      <c r="O215">
        <f>IFERROR(VLOOKUP(BikeData[[#This Row],[Intents]],[1]!Table2[#Data],6,FALSE),"")</f>
        <v>2</v>
      </c>
      <c r="P215">
        <f>IFERROR(VLOOKUP(BikeData[[#This Row],[Intents]],[1]!Table2[#Data],7,FALSE),"")</f>
        <v>3</v>
      </c>
      <c r="Q215" s="2" t="str">
        <f>CHOOSE(BikeData[[#This Row],[Season]],"Spring","Summer","Fall","Winter")</f>
        <v>Spring</v>
      </c>
      <c r="R215" s="2" t="str">
        <f>CHOOSE(BikeData[[#This Row],[Weathersituation]],"Clear","Mist","Light Rain","Heavy Rain")</f>
        <v>Clear</v>
      </c>
      <c r="S215" s="2" t="str">
        <f>TEXT(BikeData[[#This Row],[Date]],"mmm")</f>
        <v>Jan</v>
      </c>
    </row>
    <row r="216" spans="1:19" x14ac:dyDescent="0.3">
      <c r="A216">
        <v>215</v>
      </c>
      <c r="B216" s="5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 s="6">
        <f>BikeData[[#This Row],[Temperature]]</f>
        <v>0.1</v>
      </c>
      <c r="L216">
        <f>IFERROR(VLOOKUP(BikeData[[#This Row],[Intents]],[1]!Table2[#Data],3,FALSE),"")</f>
        <v>0.54</v>
      </c>
      <c r="M216">
        <f>IFERROR(VLOOKUP(BikeData[[#This Row],[Intents]],[1]!Table2[#Data],4,FALSE),"")</f>
        <v>0.25369999999999998</v>
      </c>
      <c r="N216">
        <f>IFERROR(VLOOKUP(BikeData[[#This Row],[Intents]],[1]!Table2[#Data],5,FALSE),"")</f>
        <v>0</v>
      </c>
      <c r="O216">
        <f>IFERROR(VLOOKUP(BikeData[[#This Row],[Intents]],[1]!Table2[#Data],6,FALSE),"")</f>
        <v>3</v>
      </c>
      <c r="P216">
        <f>IFERROR(VLOOKUP(BikeData[[#This Row],[Intents]],[1]!Table2[#Data],7,FALSE),"")</f>
        <v>3</v>
      </c>
      <c r="Q216" s="2" t="str">
        <f>CHOOSE(BikeData[[#This Row],[Season]],"Spring","Summer","Fall","Winter")</f>
        <v>Spring</v>
      </c>
      <c r="R216" s="2" t="str">
        <f>CHOOSE(BikeData[[#This Row],[Weathersituation]],"Clear","Mist","Light Rain","Heavy Rain")</f>
        <v>Clear</v>
      </c>
      <c r="S216" s="2" t="str">
        <f>TEXT(BikeData[[#This Row],[Date]],"mmm")</f>
        <v>Jan</v>
      </c>
    </row>
    <row r="217" spans="1:19" x14ac:dyDescent="0.3">
      <c r="A217">
        <v>216</v>
      </c>
      <c r="B217" s="5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 s="6">
        <f>BikeData[[#This Row],[Temperature]]</f>
        <v>0.12</v>
      </c>
      <c r="L217">
        <f>IFERROR(VLOOKUP(BikeData[[#This Row],[Intents]],[1]!Table2[#Data],3,FALSE),"")</f>
        <v>0.5</v>
      </c>
      <c r="M217">
        <f>IFERROR(VLOOKUP(BikeData[[#This Row],[Intents]],[1]!Table2[#Data],4,FALSE),"")</f>
        <v>0.28360000000000002</v>
      </c>
      <c r="N217">
        <f>IFERROR(VLOOKUP(BikeData[[#This Row],[Intents]],[1]!Table2[#Data],5,FALSE),"")</f>
        <v>0</v>
      </c>
      <c r="O217">
        <f>IFERROR(VLOOKUP(BikeData[[#This Row],[Intents]],[1]!Table2[#Data],6,FALSE),"")</f>
        <v>31</v>
      </c>
      <c r="P217">
        <f>IFERROR(VLOOKUP(BikeData[[#This Row],[Intents]],[1]!Table2[#Data],7,FALSE),"")</f>
        <v>31</v>
      </c>
      <c r="Q217" s="2" t="str">
        <f>CHOOSE(BikeData[[#This Row],[Season]],"Spring","Summer","Fall","Winter")</f>
        <v>Spring</v>
      </c>
      <c r="R217" s="2" t="str">
        <f>CHOOSE(BikeData[[#This Row],[Weathersituation]],"Clear","Mist","Light Rain","Heavy Rain")</f>
        <v>Clear</v>
      </c>
      <c r="S217" s="2" t="str">
        <f>TEXT(BikeData[[#This Row],[Date]],"mmm")</f>
        <v>Jan</v>
      </c>
    </row>
    <row r="218" spans="1:19" x14ac:dyDescent="0.3">
      <c r="A218">
        <v>217</v>
      </c>
      <c r="B218" s="5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 s="6">
        <f>BikeData[[#This Row],[Temperature]]</f>
        <v>0.12</v>
      </c>
      <c r="L218">
        <f>IFERROR(VLOOKUP(BikeData[[#This Row],[Intents]],[1]!Table2[#Data],3,FALSE),"")</f>
        <v>0.5</v>
      </c>
      <c r="M218">
        <f>IFERROR(VLOOKUP(BikeData[[#This Row],[Intents]],[1]!Table2[#Data],4,FALSE),"")</f>
        <v>0.22389999999999999</v>
      </c>
      <c r="N218">
        <f>IFERROR(VLOOKUP(BikeData[[#This Row],[Intents]],[1]!Table2[#Data],5,FALSE),"")</f>
        <v>2</v>
      </c>
      <c r="O218">
        <f>IFERROR(VLOOKUP(BikeData[[#This Row],[Intents]],[1]!Table2[#Data],6,FALSE),"")</f>
        <v>75</v>
      </c>
      <c r="P218">
        <f>IFERROR(VLOOKUP(BikeData[[#This Row],[Intents]],[1]!Table2[#Data],7,FALSE),"")</f>
        <v>77</v>
      </c>
      <c r="Q218" s="2" t="str">
        <f>CHOOSE(BikeData[[#This Row],[Season]],"Spring","Summer","Fall","Winter")</f>
        <v>Spring</v>
      </c>
      <c r="R218" s="2" t="str">
        <f>CHOOSE(BikeData[[#This Row],[Weathersituation]],"Clear","Mist","Light Rain","Heavy Rain")</f>
        <v>Clear</v>
      </c>
      <c r="S218" s="2" t="str">
        <f>TEXT(BikeData[[#This Row],[Date]],"mmm")</f>
        <v>Jan</v>
      </c>
    </row>
    <row r="219" spans="1:19" x14ac:dyDescent="0.3">
      <c r="A219">
        <v>218</v>
      </c>
      <c r="B219" s="5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 s="6">
        <f>BikeData[[#This Row],[Temperature]]</f>
        <v>0.12</v>
      </c>
      <c r="L219">
        <f>IFERROR(VLOOKUP(BikeData[[#This Row],[Intents]],[1]!Table2[#Data],3,FALSE),"")</f>
        <v>0.5</v>
      </c>
      <c r="M219">
        <f>IFERROR(VLOOKUP(BikeData[[#This Row],[Intents]],[1]!Table2[#Data],4,FALSE),"")</f>
        <v>0.28360000000000002</v>
      </c>
      <c r="N219">
        <f>IFERROR(VLOOKUP(BikeData[[#This Row],[Intents]],[1]!Table2[#Data],5,FALSE),"")</f>
        <v>4</v>
      </c>
      <c r="O219">
        <f>IFERROR(VLOOKUP(BikeData[[#This Row],[Intents]],[1]!Table2[#Data],6,FALSE),"")</f>
        <v>184</v>
      </c>
      <c r="P219">
        <f>IFERROR(VLOOKUP(BikeData[[#This Row],[Intents]],[1]!Table2[#Data],7,FALSE),"")</f>
        <v>188</v>
      </c>
      <c r="Q219" s="2" t="str">
        <f>CHOOSE(BikeData[[#This Row],[Season]],"Spring","Summer","Fall","Winter")</f>
        <v>Spring</v>
      </c>
      <c r="R219" s="2" t="str">
        <f>CHOOSE(BikeData[[#This Row],[Weathersituation]],"Clear","Mist","Light Rain","Heavy Rain")</f>
        <v>Mist</v>
      </c>
      <c r="S219" s="2" t="str">
        <f>TEXT(BikeData[[#This Row],[Date]],"mmm")</f>
        <v>Jan</v>
      </c>
    </row>
    <row r="220" spans="1:19" x14ac:dyDescent="0.3">
      <c r="A220">
        <v>219</v>
      </c>
      <c r="B220" s="5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 s="6">
        <f>BikeData[[#This Row],[Temperature]]</f>
        <v>0.14000000000000001</v>
      </c>
      <c r="L220">
        <f>IFERROR(VLOOKUP(BikeData[[#This Row],[Intents]],[1]!Table2[#Data],3,FALSE),"")</f>
        <v>0.5</v>
      </c>
      <c r="M220">
        <f>IFERROR(VLOOKUP(BikeData[[#This Row],[Intents]],[1]!Table2[#Data],4,FALSE),"")</f>
        <v>0.25369999999999998</v>
      </c>
      <c r="N220">
        <f>IFERROR(VLOOKUP(BikeData[[#This Row],[Intents]],[1]!Table2[#Data],5,FALSE),"")</f>
        <v>2</v>
      </c>
      <c r="O220">
        <f>IFERROR(VLOOKUP(BikeData[[#This Row],[Intents]],[1]!Table2[#Data],6,FALSE),"")</f>
        <v>92</v>
      </c>
      <c r="P220">
        <f>IFERROR(VLOOKUP(BikeData[[#This Row],[Intents]],[1]!Table2[#Data],7,FALSE),"")</f>
        <v>94</v>
      </c>
      <c r="Q220" s="2" t="str">
        <f>CHOOSE(BikeData[[#This Row],[Season]],"Spring","Summer","Fall","Winter")</f>
        <v>Spring</v>
      </c>
      <c r="R220" s="2" t="str">
        <f>CHOOSE(BikeData[[#This Row],[Weathersituation]],"Clear","Mist","Light Rain","Heavy Rain")</f>
        <v>Mist</v>
      </c>
      <c r="S220" s="2" t="str">
        <f>TEXT(BikeData[[#This Row],[Date]],"mmm")</f>
        <v>Jan</v>
      </c>
    </row>
    <row r="221" spans="1:19" x14ac:dyDescent="0.3">
      <c r="A221">
        <v>220</v>
      </c>
      <c r="B221" s="5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 s="6">
        <f>BikeData[[#This Row],[Temperature]]</f>
        <v>0.14000000000000001</v>
      </c>
      <c r="L221">
        <f>IFERROR(VLOOKUP(BikeData[[#This Row],[Intents]],[1]!Table2[#Data],3,FALSE),"")</f>
        <v>0.5</v>
      </c>
      <c r="M221">
        <f>IFERROR(VLOOKUP(BikeData[[#This Row],[Intents]],[1]!Table2[#Data],4,FALSE),"")</f>
        <v>0.29849999999999999</v>
      </c>
      <c r="N221">
        <f>IFERROR(VLOOKUP(BikeData[[#This Row],[Intents]],[1]!Table2[#Data],5,FALSE),"")</f>
        <v>0</v>
      </c>
      <c r="O221">
        <f>IFERROR(VLOOKUP(BikeData[[#This Row],[Intents]],[1]!Table2[#Data],6,FALSE),"")</f>
        <v>31</v>
      </c>
      <c r="P221">
        <f>IFERROR(VLOOKUP(BikeData[[#This Row],[Intents]],[1]!Table2[#Data],7,FALSE),"")</f>
        <v>31</v>
      </c>
      <c r="Q221" s="2" t="str">
        <f>CHOOSE(BikeData[[#This Row],[Season]],"Spring","Summer","Fall","Winter")</f>
        <v>Spring</v>
      </c>
      <c r="R221" s="2" t="str">
        <f>CHOOSE(BikeData[[#This Row],[Weathersituation]],"Clear","Mist","Light Rain","Heavy Rain")</f>
        <v>Mist</v>
      </c>
      <c r="S221" s="2" t="str">
        <f>TEXT(BikeData[[#This Row],[Date]],"mmm")</f>
        <v>Jan</v>
      </c>
    </row>
    <row r="222" spans="1:19" x14ac:dyDescent="0.3">
      <c r="A222">
        <v>221</v>
      </c>
      <c r="B222" s="5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 s="6">
        <f>BikeData[[#This Row],[Temperature]]</f>
        <v>0.16</v>
      </c>
      <c r="L222">
        <f>IFERROR(VLOOKUP(BikeData[[#This Row],[Intents]],[1]!Table2[#Data],3,FALSE),"")</f>
        <v>0.47</v>
      </c>
      <c r="M222">
        <f>IFERROR(VLOOKUP(BikeData[[#This Row],[Intents]],[1]!Table2[#Data],4,FALSE),"")</f>
        <v>0.28360000000000002</v>
      </c>
      <c r="N222">
        <f>IFERROR(VLOOKUP(BikeData[[#This Row],[Intents]],[1]!Table2[#Data],5,FALSE),"")</f>
        <v>2</v>
      </c>
      <c r="O222">
        <f>IFERROR(VLOOKUP(BikeData[[#This Row],[Intents]],[1]!Table2[#Data],6,FALSE),"")</f>
        <v>28</v>
      </c>
      <c r="P222">
        <f>IFERROR(VLOOKUP(BikeData[[#This Row],[Intents]],[1]!Table2[#Data],7,FALSE),"")</f>
        <v>30</v>
      </c>
      <c r="Q222" s="2" t="str">
        <f>CHOOSE(BikeData[[#This Row],[Season]],"Spring","Summer","Fall","Winter")</f>
        <v>Spring</v>
      </c>
      <c r="R222" s="2" t="str">
        <f>CHOOSE(BikeData[[#This Row],[Weathersituation]],"Clear","Mist","Light Rain","Heavy Rain")</f>
        <v>Mist</v>
      </c>
      <c r="S222" s="2" t="str">
        <f>TEXT(BikeData[[#This Row],[Date]],"mmm")</f>
        <v>Jan</v>
      </c>
    </row>
    <row r="223" spans="1:19" x14ac:dyDescent="0.3">
      <c r="A223">
        <v>222</v>
      </c>
      <c r="B223" s="5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 s="6">
        <f>BikeData[[#This Row],[Temperature]]</f>
        <v>0.2</v>
      </c>
      <c r="L223">
        <f>IFERROR(VLOOKUP(BikeData[[#This Row],[Intents]],[1]!Table2[#Data],3,FALSE),"")</f>
        <v>0.4</v>
      </c>
      <c r="M223">
        <f>IFERROR(VLOOKUP(BikeData[[#This Row],[Intents]],[1]!Table2[#Data],4,FALSE),"")</f>
        <v>0.28360000000000002</v>
      </c>
      <c r="N223">
        <f>IFERROR(VLOOKUP(BikeData[[#This Row],[Intents]],[1]!Table2[#Data],5,FALSE),"")</f>
        <v>5</v>
      </c>
      <c r="O223">
        <f>IFERROR(VLOOKUP(BikeData[[#This Row],[Intents]],[1]!Table2[#Data],6,FALSE),"")</f>
        <v>47</v>
      </c>
      <c r="P223">
        <f>IFERROR(VLOOKUP(BikeData[[#This Row],[Intents]],[1]!Table2[#Data],7,FALSE),"")</f>
        <v>52</v>
      </c>
      <c r="Q223" s="2" t="str">
        <f>CHOOSE(BikeData[[#This Row],[Season]],"Spring","Summer","Fall","Winter")</f>
        <v>Spring</v>
      </c>
      <c r="R223" s="2" t="str">
        <f>CHOOSE(BikeData[[#This Row],[Weathersituation]],"Clear","Mist","Light Rain","Heavy Rain")</f>
        <v>Mist</v>
      </c>
      <c r="S223" s="2" t="str">
        <f>TEXT(BikeData[[#This Row],[Date]],"mmm")</f>
        <v>Jan</v>
      </c>
    </row>
    <row r="224" spans="1:19" x14ac:dyDescent="0.3">
      <c r="A224">
        <v>223</v>
      </c>
      <c r="B224" s="5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 s="6">
        <f>BikeData[[#This Row],[Temperature]]</f>
        <v>0.2</v>
      </c>
      <c r="L224">
        <f>IFERROR(VLOOKUP(BikeData[[#This Row],[Intents]],[1]!Table2[#Data],3,FALSE),"")</f>
        <v>0.4</v>
      </c>
      <c r="M224">
        <f>IFERROR(VLOOKUP(BikeData[[#This Row],[Intents]],[1]!Table2[#Data],4,FALSE),"")</f>
        <v>0.28360000000000002</v>
      </c>
      <c r="N224">
        <f>IFERROR(VLOOKUP(BikeData[[#This Row],[Intents]],[1]!Table2[#Data],5,FALSE),"")</f>
        <v>4</v>
      </c>
      <c r="O224">
        <f>IFERROR(VLOOKUP(BikeData[[#This Row],[Intents]],[1]!Table2[#Data],6,FALSE),"")</f>
        <v>50</v>
      </c>
      <c r="P224">
        <f>IFERROR(VLOOKUP(BikeData[[#This Row],[Intents]],[1]!Table2[#Data],7,FALSE),"")</f>
        <v>54</v>
      </c>
      <c r="Q224" s="2" t="str">
        <f>CHOOSE(BikeData[[#This Row],[Season]],"Spring","Summer","Fall","Winter")</f>
        <v>Spring</v>
      </c>
      <c r="R224" s="2" t="str">
        <f>CHOOSE(BikeData[[#This Row],[Weathersituation]],"Clear","Mist","Light Rain","Heavy Rain")</f>
        <v>Mist</v>
      </c>
      <c r="S224" s="2" t="str">
        <f>TEXT(BikeData[[#This Row],[Date]],"mmm")</f>
        <v>Jan</v>
      </c>
    </row>
    <row r="225" spans="1:19" x14ac:dyDescent="0.3">
      <c r="A225">
        <v>224</v>
      </c>
      <c r="B225" s="5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 s="6">
        <f>BikeData[[#This Row],[Temperature]]</f>
        <v>0.2</v>
      </c>
      <c r="L225">
        <f>IFERROR(VLOOKUP(BikeData[[#This Row],[Intents]],[1]!Table2[#Data],3,FALSE),"")</f>
        <v>0.4</v>
      </c>
      <c r="M225">
        <f>IFERROR(VLOOKUP(BikeData[[#This Row],[Intents]],[1]!Table2[#Data],4,FALSE),"")</f>
        <v>0.22389999999999999</v>
      </c>
      <c r="N225">
        <f>IFERROR(VLOOKUP(BikeData[[#This Row],[Intents]],[1]!Table2[#Data],5,FALSE),"")</f>
        <v>0</v>
      </c>
      <c r="O225">
        <f>IFERROR(VLOOKUP(BikeData[[#This Row],[Intents]],[1]!Table2[#Data],6,FALSE),"")</f>
        <v>47</v>
      </c>
      <c r="P225">
        <f>IFERROR(VLOOKUP(BikeData[[#This Row],[Intents]],[1]!Table2[#Data],7,FALSE),"")</f>
        <v>47</v>
      </c>
      <c r="Q225" s="2" t="str">
        <f>CHOOSE(BikeData[[#This Row],[Season]],"Spring","Summer","Fall","Winter")</f>
        <v>Spring</v>
      </c>
      <c r="R225" s="2" t="str">
        <f>CHOOSE(BikeData[[#This Row],[Weathersituation]],"Clear","Mist","Light Rain","Heavy Rain")</f>
        <v>Mist</v>
      </c>
      <c r="S225" s="2" t="str">
        <f>TEXT(BikeData[[#This Row],[Date]],"mmm")</f>
        <v>Jan</v>
      </c>
    </row>
    <row r="226" spans="1:19" x14ac:dyDescent="0.3">
      <c r="A226">
        <v>225</v>
      </c>
      <c r="B226" s="5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 s="6">
        <f>BikeData[[#This Row],[Temperature]]</f>
        <v>0.2</v>
      </c>
      <c r="L226">
        <f>IFERROR(VLOOKUP(BikeData[[#This Row],[Intents]],[1]!Table2[#Data],3,FALSE),"")</f>
        <v>0.4</v>
      </c>
      <c r="M226">
        <f>IFERROR(VLOOKUP(BikeData[[#This Row],[Intents]],[1]!Table2[#Data],4,FALSE),"")</f>
        <v>0.22389999999999999</v>
      </c>
      <c r="N226">
        <f>IFERROR(VLOOKUP(BikeData[[#This Row],[Intents]],[1]!Table2[#Data],5,FALSE),"")</f>
        <v>2</v>
      </c>
      <c r="O226">
        <f>IFERROR(VLOOKUP(BikeData[[#This Row],[Intents]],[1]!Table2[#Data],6,FALSE),"")</f>
        <v>43</v>
      </c>
      <c r="P226">
        <f>IFERROR(VLOOKUP(BikeData[[#This Row],[Intents]],[1]!Table2[#Data],7,FALSE),"")</f>
        <v>45</v>
      </c>
      <c r="Q226" s="2" t="str">
        <f>CHOOSE(BikeData[[#This Row],[Season]],"Spring","Summer","Fall","Winter")</f>
        <v>Spring</v>
      </c>
      <c r="R226" s="2" t="str">
        <f>CHOOSE(BikeData[[#This Row],[Weathersituation]],"Clear","Mist","Light Rain","Heavy Rain")</f>
        <v>Mist</v>
      </c>
      <c r="S226" s="2" t="str">
        <f>TEXT(BikeData[[#This Row],[Date]],"mmm")</f>
        <v>Jan</v>
      </c>
    </row>
    <row r="227" spans="1:19" x14ac:dyDescent="0.3">
      <c r="A227">
        <v>226</v>
      </c>
      <c r="B227" s="5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 s="6">
        <f>BikeData[[#This Row],[Temperature]]</f>
        <v>0.2</v>
      </c>
      <c r="L227">
        <f>IFERROR(VLOOKUP(BikeData[[#This Row],[Intents]],[1]!Table2[#Data],3,FALSE),"")</f>
        <v>0.4</v>
      </c>
      <c r="M227">
        <f>IFERROR(VLOOKUP(BikeData[[#This Row],[Intents]],[1]!Table2[#Data],4,FALSE),"")</f>
        <v>0.1343</v>
      </c>
      <c r="N227">
        <f>IFERROR(VLOOKUP(BikeData[[#This Row],[Intents]],[1]!Table2[#Data],5,FALSE),"")</f>
        <v>4</v>
      </c>
      <c r="O227">
        <f>IFERROR(VLOOKUP(BikeData[[#This Row],[Intents]],[1]!Table2[#Data],6,FALSE),"")</f>
        <v>70</v>
      </c>
      <c r="P227">
        <f>IFERROR(VLOOKUP(BikeData[[#This Row],[Intents]],[1]!Table2[#Data],7,FALSE),"")</f>
        <v>74</v>
      </c>
      <c r="Q227" s="2" t="str">
        <f>CHOOSE(BikeData[[#This Row],[Season]],"Spring","Summer","Fall","Winter")</f>
        <v>Spring</v>
      </c>
      <c r="R227" s="2" t="str">
        <f>CHOOSE(BikeData[[#This Row],[Weathersituation]],"Clear","Mist","Light Rain","Heavy Rain")</f>
        <v>Clear</v>
      </c>
      <c r="S227" s="2" t="str">
        <f>TEXT(BikeData[[#This Row],[Date]],"mmm")</f>
        <v>Jan</v>
      </c>
    </row>
    <row r="228" spans="1:19" x14ac:dyDescent="0.3">
      <c r="A228">
        <v>227</v>
      </c>
      <c r="B228" s="5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 s="6">
        <f>BikeData[[#This Row],[Temperature]]</f>
        <v>0.2</v>
      </c>
      <c r="L228">
        <f>IFERROR(VLOOKUP(BikeData[[#This Row],[Intents]],[1]!Table2[#Data],3,FALSE),"")</f>
        <v>0.4</v>
      </c>
      <c r="M228">
        <f>IFERROR(VLOOKUP(BikeData[[#This Row],[Intents]],[1]!Table2[#Data],4,FALSE),"")</f>
        <v>0.1045</v>
      </c>
      <c r="N228">
        <f>IFERROR(VLOOKUP(BikeData[[#This Row],[Intents]],[1]!Table2[#Data],5,FALSE),"")</f>
        <v>4</v>
      </c>
      <c r="O228">
        <f>IFERROR(VLOOKUP(BikeData[[#This Row],[Intents]],[1]!Table2[#Data],6,FALSE),"")</f>
        <v>174</v>
      </c>
      <c r="P228">
        <f>IFERROR(VLOOKUP(BikeData[[#This Row],[Intents]],[1]!Table2[#Data],7,FALSE),"")</f>
        <v>178</v>
      </c>
      <c r="Q228" s="2" t="str">
        <f>CHOOSE(BikeData[[#This Row],[Season]],"Spring","Summer","Fall","Winter")</f>
        <v>Spring</v>
      </c>
      <c r="R228" s="2" t="str">
        <f>CHOOSE(BikeData[[#This Row],[Weathersituation]],"Clear","Mist","Light Rain","Heavy Rain")</f>
        <v>Clear</v>
      </c>
      <c r="S228" s="2" t="str">
        <f>TEXT(BikeData[[#This Row],[Date]],"mmm")</f>
        <v>Jan</v>
      </c>
    </row>
    <row r="229" spans="1:19" x14ac:dyDescent="0.3">
      <c r="A229">
        <v>228</v>
      </c>
      <c r="B229" s="5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 s="6">
        <f>BikeData[[#This Row],[Temperature]]</f>
        <v>0.2</v>
      </c>
      <c r="L229">
        <f>IFERROR(VLOOKUP(BikeData[[#This Row],[Intents]],[1]!Table2[#Data],3,FALSE),"")</f>
        <v>0.4</v>
      </c>
      <c r="M229">
        <f>IFERROR(VLOOKUP(BikeData[[#This Row],[Intents]],[1]!Table2[#Data],4,FALSE),"")</f>
        <v>0.22389999999999999</v>
      </c>
      <c r="N229">
        <f>IFERROR(VLOOKUP(BikeData[[#This Row],[Intents]],[1]!Table2[#Data],5,FALSE),"")</f>
        <v>1</v>
      </c>
      <c r="O229">
        <f>IFERROR(VLOOKUP(BikeData[[#This Row],[Intents]],[1]!Table2[#Data],6,FALSE),"")</f>
        <v>154</v>
      </c>
      <c r="P229">
        <f>IFERROR(VLOOKUP(BikeData[[#This Row],[Intents]],[1]!Table2[#Data],7,FALSE),"")</f>
        <v>155</v>
      </c>
      <c r="Q229" s="2" t="str">
        <f>CHOOSE(BikeData[[#This Row],[Season]],"Spring","Summer","Fall","Winter")</f>
        <v>Spring</v>
      </c>
      <c r="R229" s="2" t="str">
        <f>CHOOSE(BikeData[[#This Row],[Weathersituation]],"Clear","Mist","Light Rain","Heavy Rain")</f>
        <v>Clear</v>
      </c>
      <c r="S229" s="2" t="str">
        <f>TEXT(BikeData[[#This Row],[Date]],"mmm")</f>
        <v>Jan</v>
      </c>
    </row>
    <row r="230" spans="1:19" x14ac:dyDescent="0.3">
      <c r="A230">
        <v>229</v>
      </c>
      <c r="B230" s="5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 s="6">
        <f>BikeData[[#This Row],[Temperature]]</f>
        <v>0.16</v>
      </c>
      <c r="L230">
        <f>IFERROR(VLOOKUP(BikeData[[#This Row],[Intents]],[1]!Table2[#Data],3,FALSE),"")</f>
        <v>0.47</v>
      </c>
      <c r="M230">
        <f>IFERROR(VLOOKUP(BikeData[[#This Row],[Intents]],[1]!Table2[#Data],4,FALSE),"")</f>
        <v>0.16420000000000001</v>
      </c>
      <c r="N230">
        <f>IFERROR(VLOOKUP(BikeData[[#This Row],[Intents]],[1]!Table2[#Data],5,FALSE),"")</f>
        <v>3</v>
      </c>
      <c r="O230">
        <f>IFERROR(VLOOKUP(BikeData[[#This Row],[Intents]],[1]!Table2[#Data],6,FALSE),"")</f>
        <v>92</v>
      </c>
      <c r="P230">
        <f>IFERROR(VLOOKUP(BikeData[[#This Row],[Intents]],[1]!Table2[#Data],7,FALSE),"")</f>
        <v>95</v>
      </c>
      <c r="Q230" s="2" t="str">
        <f>CHOOSE(BikeData[[#This Row],[Season]],"Spring","Summer","Fall","Winter")</f>
        <v>Spring</v>
      </c>
      <c r="R230" s="2" t="str">
        <f>CHOOSE(BikeData[[#This Row],[Weathersituation]],"Clear","Mist","Light Rain","Heavy Rain")</f>
        <v>Clear</v>
      </c>
      <c r="S230" s="2" t="str">
        <f>TEXT(BikeData[[#This Row],[Date]],"mmm")</f>
        <v>Jan</v>
      </c>
    </row>
    <row r="231" spans="1:19" x14ac:dyDescent="0.3">
      <c r="A231">
        <v>230</v>
      </c>
      <c r="B231" s="5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 s="6">
        <f>BikeData[[#This Row],[Temperature]]</f>
        <v>0.16</v>
      </c>
      <c r="L231">
        <f>IFERROR(VLOOKUP(BikeData[[#This Row],[Intents]],[1]!Table2[#Data],3,FALSE),"")</f>
        <v>0.5</v>
      </c>
      <c r="M231">
        <f>IFERROR(VLOOKUP(BikeData[[#This Row],[Intents]],[1]!Table2[#Data],4,FALSE),"")</f>
        <v>0.16420000000000001</v>
      </c>
      <c r="N231">
        <f>IFERROR(VLOOKUP(BikeData[[#This Row],[Intents]],[1]!Table2[#Data],5,FALSE),"")</f>
        <v>1</v>
      </c>
      <c r="O231">
        <f>IFERROR(VLOOKUP(BikeData[[#This Row],[Intents]],[1]!Table2[#Data],6,FALSE),"")</f>
        <v>73</v>
      </c>
      <c r="P231">
        <f>IFERROR(VLOOKUP(BikeData[[#This Row],[Intents]],[1]!Table2[#Data],7,FALSE),"")</f>
        <v>74</v>
      </c>
      <c r="Q231" s="2" t="str">
        <f>CHOOSE(BikeData[[#This Row],[Season]],"Spring","Summer","Fall","Winter")</f>
        <v>Spring</v>
      </c>
      <c r="R231" s="2" t="str">
        <f>CHOOSE(BikeData[[#This Row],[Weathersituation]],"Clear","Mist","Light Rain","Heavy Rain")</f>
        <v>Clear</v>
      </c>
      <c r="S231" s="2" t="str">
        <f>TEXT(BikeData[[#This Row],[Date]],"mmm")</f>
        <v>Jan</v>
      </c>
    </row>
    <row r="232" spans="1:19" x14ac:dyDescent="0.3">
      <c r="A232">
        <v>231</v>
      </c>
      <c r="B232" s="5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 s="6">
        <f>BikeData[[#This Row],[Temperature]]</f>
        <v>0.14000000000000001</v>
      </c>
      <c r="L232">
        <f>IFERROR(VLOOKUP(BikeData[[#This Row],[Intents]],[1]!Table2[#Data],3,FALSE),"")</f>
        <v>0.59</v>
      </c>
      <c r="M232">
        <f>IFERROR(VLOOKUP(BikeData[[#This Row],[Intents]],[1]!Table2[#Data],4,FALSE),"")</f>
        <v>0.19400000000000001</v>
      </c>
      <c r="N232">
        <f>IFERROR(VLOOKUP(BikeData[[#This Row],[Intents]],[1]!Table2[#Data],5,FALSE),"")</f>
        <v>1</v>
      </c>
      <c r="O232">
        <f>IFERROR(VLOOKUP(BikeData[[#This Row],[Intents]],[1]!Table2[#Data],6,FALSE),"")</f>
        <v>37</v>
      </c>
      <c r="P232">
        <f>IFERROR(VLOOKUP(BikeData[[#This Row],[Intents]],[1]!Table2[#Data],7,FALSE),"")</f>
        <v>38</v>
      </c>
      <c r="Q232" s="2" t="str">
        <f>CHOOSE(BikeData[[#This Row],[Season]],"Spring","Summer","Fall","Winter")</f>
        <v>Spring</v>
      </c>
      <c r="R232" s="2" t="str">
        <f>CHOOSE(BikeData[[#This Row],[Weathersituation]],"Clear","Mist","Light Rain","Heavy Rain")</f>
        <v>Clear</v>
      </c>
      <c r="S232" s="2" t="str">
        <f>TEXT(BikeData[[#This Row],[Date]],"mmm")</f>
        <v>Jan</v>
      </c>
    </row>
    <row r="233" spans="1:19" x14ac:dyDescent="0.3">
      <c r="A233">
        <v>232</v>
      </c>
      <c r="B233" s="5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 s="6">
        <f>BikeData[[#This Row],[Temperature]]</f>
        <v>0.14000000000000001</v>
      </c>
      <c r="L233">
        <f>IFERROR(VLOOKUP(BikeData[[#This Row],[Intents]],[1]!Table2[#Data],3,FALSE),"")</f>
        <v>0.59</v>
      </c>
      <c r="M233">
        <f>IFERROR(VLOOKUP(BikeData[[#This Row],[Intents]],[1]!Table2[#Data],4,FALSE),"")</f>
        <v>0.16420000000000001</v>
      </c>
      <c r="N233">
        <f>IFERROR(VLOOKUP(BikeData[[#This Row],[Intents]],[1]!Table2[#Data],5,FALSE),"")</f>
        <v>2</v>
      </c>
      <c r="O233">
        <f>IFERROR(VLOOKUP(BikeData[[#This Row],[Intents]],[1]!Table2[#Data],6,FALSE),"")</f>
        <v>22</v>
      </c>
      <c r="P233">
        <f>IFERROR(VLOOKUP(BikeData[[#This Row],[Intents]],[1]!Table2[#Data],7,FALSE),"")</f>
        <v>24</v>
      </c>
      <c r="Q233" s="2" t="str">
        <f>CHOOSE(BikeData[[#This Row],[Season]],"Spring","Summer","Fall","Winter")</f>
        <v>Spring</v>
      </c>
      <c r="R233" s="2" t="str">
        <f>CHOOSE(BikeData[[#This Row],[Weathersituation]],"Clear","Mist","Light Rain","Heavy Rain")</f>
        <v>Clear</v>
      </c>
      <c r="S233" s="2" t="str">
        <f>TEXT(BikeData[[#This Row],[Date]],"mmm")</f>
        <v>Jan</v>
      </c>
    </row>
    <row r="234" spans="1:19" x14ac:dyDescent="0.3">
      <c r="A234">
        <v>233</v>
      </c>
      <c r="B234" s="5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 s="6">
        <f>BikeData[[#This Row],[Temperature]]</f>
        <v>0.14000000000000001</v>
      </c>
      <c r="L234">
        <f>IFERROR(VLOOKUP(BikeData[[#This Row],[Intents]],[1]!Table2[#Data],3,FALSE),"")</f>
        <v>0.59</v>
      </c>
      <c r="M234">
        <f>IFERROR(VLOOKUP(BikeData[[#This Row],[Intents]],[1]!Table2[#Data],4,FALSE),"")</f>
        <v>0.16420000000000001</v>
      </c>
      <c r="N234">
        <f>IFERROR(VLOOKUP(BikeData[[#This Row],[Intents]],[1]!Table2[#Data],5,FALSE),"")</f>
        <v>0</v>
      </c>
      <c r="O234">
        <f>IFERROR(VLOOKUP(BikeData[[#This Row],[Intents]],[1]!Table2[#Data],6,FALSE),"")</f>
        <v>18</v>
      </c>
      <c r="P234">
        <f>IFERROR(VLOOKUP(BikeData[[#This Row],[Intents]],[1]!Table2[#Data],7,FALSE),"")</f>
        <v>18</v>
      </c>
      <c r="Q234" s="2" t="str">
        <f>CHOOSE(BikeData[[#This Row],[Season]],"Spring","Summer","Fall","Winter")</f>
        <v>Spring</v>
      </c>
      <c r="R234" s="2" t="str">
        <f>CHOOSE(BikeData[[#This Row],[Weathersituation]],"Clear","Mist","Light Rain","Heavy Rain")</f>
        <v>Clear</v>
      </c>
      <c r="S234" s="2" t="str">
        <f>TEXT(BikeData[[#This Row],[Date]],"mmm")</f>
        <v>Jan</v>
      </c>
    </row>
    <row r="235" spans="1:19" x14ac:dyDescent="0.3">
      <c r="A235">
        <v>234</v>
      </c>
      <c r="B235" s="5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 s="6">
        <f>BikeData[[#This Row],[Temperature]]</f>
        <v>0.14000000000000001</v>
      </c>
      <c r="L235">
        <f>IFERROR(VLOOKUP(BikeData[[#This Row],[Intents]],[1]!Table2[#Data],3,FALSE),"")</f>
        <v>0.59</v>
      </c>
      <c r="M235">
        <f>IFERROR(VLOOKUP(BikeData[[#This Row],[Intents]],[1]!Table2[#Data],4,FALSE),"")</f>
        <v>0.1045</v>
      </c>
      <c r="N235">
        <f>IFERROR(VLOOKUP(BikeData[[#This Row],[Intents]],[1]!Table2[#Data],5,FALSE),"")</f>
        <v>2</v>
      </c>
      <c r="O235">
        <f>IFERROR(VLOOKUP(BikeData[[#This Row],[Intents]],[1]!Table2[#Data],6,FALSE),"")</f>
        <v>10</v>
      </c>
      <c r="P235">
        <f>IFERROR(VLOOKUP(BikeData[[#This Row],[Intents]],[1]!Table2[#Data],7,FALSE),"")</f>
        <v>12</v>
      </c>
      <c r="Q235" s="2" t="str">
        <f>CHOOSE(BikeData[[#This Row],[Season]],"Spring","Summer","Fall","Winter")</f>
        <v>Spring</v>
      </c>
      <c r="R235" s="2" t="str">
        <f>CHOOSE(BikeData[[#This Row],[Weathersituation]],"Clear","Mist","Light Rain","Heavy Rain")</f>
        <v>Clear</v>
      </c>
      <c r="S235" s="2" t="str">
        <f>TEXT(BikeData[[#This Row],[Date]],"mmm")</f>
        <v>Jan</v>
      </c>
    </row>
    <row r="236" spans="1:19" x14ac:dyDescent="0.3">
      <c r="A236">
        <v>235</v>
      </c>
      <c r="B236" s="5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 s="6">
        <f>BikeData[[#This Row],[Temperature]]</f>
        <v>0.14000000000000001</v>
      </c>
      <c r="L236">
        <f>IFERROR(VLOOKUP(BikeData[[#This Row],[Intents]],[1]!Table2[#Data],3,FALSE),"")</f>
        <v>0.59</v>
      </c>
      <c r="M236">
        <f>IFERROR(VLOOKUP(BikeData[[#This Row],[Intents]],[1]!Table2[#Data],4,FALSE),"")</f>
        <v>0.16420000000000001</v>
      </c>
      <c r="N236">
        <f>IFERROR(VLOOKUP(BikeData[[#This Row],[Intents]],[1]!Table2[#Data],5,FALSE),"")</f>
        <v>0</v>
      </c>
      <c r="O236">
        <f>IFERROR(VLOOKUP(BikeData[[#This Row],[Intents]],[1]!Table2[#Data],6,FALSE),"")</f>
        <v>3</v>
      </c>
      <c r="P236">
        <f>IFERROR(VLOOKUP(BikeData[[#This Row],[Intents]],[1]!Table2[#Data],7,FALSE),"")</f>
        <v>3</v>
      </c>
      <c r="Q236" s="2" t="str">
        <f>CHOOSE(BikeData[[#This Row],[Season]],"Spring","Summer","Fall","Winter")</f>
        <v>Spring</v>
      </c>
      <c r="R236" s="2" t="str">
        <f>CHOOSE(BikeData[[#This Row],[Weathersituation]],"Clear","Mist","Light Rain","Heavy Rain")</f>
        <v>Clear</v>
      </c>
      <c r="S236" s="2" t="str">
        <f>TEXT(BikeData[[#This Row],[Date]],"mmm")</f>
        <v>Jan</v>
      </c>
    </row>
    <row r="237" spans="1:19" x14ac:dyDescent="0.3">
      <c r="A237">
        <v>236</v>
      </c>
      <c r="B237" s="5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 s="6">
        <f>BikeData[[#This Row],[Temperature]]</f>
        <v>0.16</v>
      </c>
      <c r="L237">
        <f>IFERROR(VLOOKUP(BikeData[[#This Row],[Intents]],[1]!Table2[#Data],3,FALSE),"")</f>
        <v>0.55000000000000004</v>
      </c>
      <c r="M237">
        <f>IFERROR(VLOOKUP(BikeData[[#This Row],[Intents]],[1]!Table2[#Data],4,FALSE),"")</f>
        <v>0.19400000000000001</v>
      </c>
      <c r="N237">
        <f>IFERROR(VLOOKUP(BikeData[[#This Row],[Intents]],[1]!Table2[#Data],5,FALSE),"")</f>
        <v>0</v>
      </c>
      <c r="O237">
        <f>IFERROR(VLOOKUP(BikeData[[#This Row],[Intents]],[1]!Table2[#Data],6,FALSE),"")</f>
        <v>3</v>
      </c>
      <c r="P237">
        <f>IFERROR(VLOOKUP(BikeData[[#This Row],[Intents]],[1]!Table2[#Data],7,FALSE),"")</f>
        <v>3</v>
      </c>
      <c r="Q237" s="2" t="str">
        <f>CHOOSE(BikeData[[#This Row],[Season]],"Spring","Summer","Fall","Winter")</f>
        <v>Spring</v>
      </c>
      <c r="R237" s="2" t="str">
        <f>CHOOSE(BikeData[[#This Row],[Weathersituation]],"Clear","Mist","Light Rain","Heavy Rain")</f>
        <v>Mist</v>
      </c>
      <c r="S237" s="2" t="str">
        <f>TEXT(BikeData[[#This Row],[Date]],"mmm")</f>
        <v>Jan</v>
      </c>
    </row>
    <row r="238" spans="1:19" x14ac:dyDescent="0.3">
      <c r="A238">
        <v>237</v>
      </c>
      <c r="B238" s="5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 s="6">
        <f>BikeData[[#This Row],[Temperature]]</f>
        <v>0.16</v>
      </c>
      <c r="L238">
        <f>IFERROR(VLOOKUP(BikeData[[#This Row],[Intents]],[1]!Table2[#Data],3,FALSE),"")</f>
        <v>0.55000000000000004</v>
      </c>
      <c r="M238">
        <f>IFERROR(VLOOKUP(BikeData[[#This Row],[Intents]],[1]!Table2[#Data],4,FALSE),"")</f>
        <v>0.1343</v>
      </c>
      <c r="N238">
        <f>IFERROR(VLOOKUP(BikeData[[#This Row],[Intents]],[1]!Table2[#Data],5,FALSE),"")</f>
        <v>0</v>
      </c>
      <c r="O238">
        <f>IFERROR(VLOOKUP(BikeData[[#This Row],[Intents]],[1]!Table2[#Data],6,FALSE),"")</f>
        <v>6</v>
      </c>
      <c r="P238">
        <f>IFERROR(VLOOKUP(BikeData[[#This Row],[Intents]],[1]!Table2[#Data],7,FALSE),"")</f>
        <v>6</v>
      </c>
      <c r="Q238" s="2" t="str">
        <f>CHOOSE(BikeData[[#This Row],[Season]],"Spring","Summer","Fall","Winter")</f>
        <v>Spring</v>
      </c>
      <c r="R238" s="2" t="str">
        <f>CHOOSE(BikeData[[#This Row],[Weathersituation]],"Clear","Mist","Light Rain","Heavy Rain")</f>
        <v>Mist</v>
      </c>
      <c r="S238" s="2" t="str">
        <f>TEXT(BikeData[[#This Row],[Date]],"mmm")</f>
        <v>Jan</v>
      </c>
    </row>
    <row r="239" spans="1:19" x14ac:dyDescent="0.3">
      <c r="A239">
        <v>238</v>
      </c>
      <c r="B239" s="5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 s="6">
        <f>BikeData[[#This Row],[Temperature]]</f>
        <v>0.16</v>
      </c>
      <c r="L239">
        <f>IFERROR(VLOOKUP(BikeData[[#This Row],[Intents]],[1]!Table2[#Data],3,FALSE),"")</f>
        <v>0.55000000000000004</v>
      </c>
      <c r="M239">
        <f>IFERROR(VLOOKUP(BikeData[[#This Row],[Intents]],[1]!Table2[#Data],4,FALSE),"")</f>
        <v>0.1343</v>
      </c>
      <c r="N239">
        <f>IFERROR(VLOOKUP(BikeData[[#This Row],[Intents]],[1]!Table2[#Data],5,FALSE),"")</f>
        <v>0</v>
      </c>
      <c r="O239">
        <f>IFERROR(VLOOKUP(BikeData[[#This Row],[Intents]],[1]!Table2[#Data],6,FALSE),"")</f>
        <v>27</v>
      </c>
      <c r="P239">
        <f>IFERROR(VLOOKUP(BikeData[[#This Row],[Intents]],[1]!Table2[#Data],7,FALSE),"")</f>
        <v>27</v>
      </c>
      <c r="Q239" s="2" t="str">
        <f>CHOOSE(BikeData[[#This Row],[Season]],"Spring","Summer","Fall","Winter")</f>
        <v>Spring</v>
      </c>
      <c r="R239" s="2" t="str">
        <f>CHOOSE(BikeData[[#This Row],[Weathersituation]],"Clear","Mist","Light Rain","Heavy Rain")</f>
        <v>Mist</v>
      </c>
      <c r="S239" s="2" t="str">
        <f>TEXT(BikeData[[#This Row],[Date]],"mmm")</f>
        <v>Jan</v>
      </c>
    </row>
    <row r="240" spans="1:19" x14ac:dyDescent="0.3">
      <c r="A240">
        <v>239</v>
      </c>
      <c r="B240" s="5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 s="6">
        <f>BikeData[[#This Row],[Temperature]]</f>
        <v>0.16</v>
      </c>
      <c r="L240">
        <f>IFERROR(VLOOKUP(BikeData[[#This Row],[Intents]],[1]!Table2[#Data],3,FALSE),"")</f>
        <v>0.55000000000000004</v>
      </c>
      <c r="M240">
        <f>IFERROR(VLOOKUP(BikeData[[#This Row],[Intents]],[1]!Table2[#Data],4,FALSE),"")</f>
        <v>0</v>
      </c>
      <c r="N240">
        <f>IFERROR(VLOOKUP(BikeData[[#This Row],[Intents]],[1]!Table2[#Data],5,FALSE),"")</f>
        <v>2</v>
      </c>
      <c r="O240">
        <f>IFERROR(VLOOKUP(BikeData[[#This Row],[Intents]],[1]!Table2[#Data],6,FALSE),"")</f>
        <v>97</v>
      </c>
      <c r="P240">
        <f>IFERROR(VLOOKUP(BikeData[[#This Row],[Intents]],[1]!Table2[#Data],7,FALSE),"")</f>
        <v>99</v>
      </c>
      <c r="Q240" s="2" t="str">
        <f>CHOOSE(BikeData[[#This Row],[Season]],"Spring","Summer","Fall","Winter")</f>
        <v>Spring</v>
      </c>
      <c r="R240" s="2" t="str">
        <f>CHOOSE(BikeData[[#This Row],[Weathersituation]],"Clear","Mist","Light Rain","Heavy Rain")</f>
        <v>Mist</v>
      </c>
      <c r="S240" s="2" t="str">
        <f>TEXT(BikeData[[#This Row],[Date]],"mmm")</f>
        <v>Jan</v>
      </c>
    </row>
    <row r="241" spans="1:19" x14ac:dyDescent="0.3">
      <c r="A241">
        <v>240</v>
      </c>
      <c r="B241" s="5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 s="6">
        <f>BikeData[[#This Row],[Temperature]]</f>
        <v>0.18</v>
      </c>
      <c r="L241">
        <f>IFERROR(VLOOKUP(BikeData[[#This Row],[Intents]],[1]!Table2[#Data],3,FALSE),"")</f>
        <v>0.51</v>
      </c>
      <c r="M241">
        <f>IFERROR(VLOOKUP(BikeData[[#This Row],[Intents]],[1]!Table2[#Data],4,FALSE),"")</f>
        <v>8.9599999999999999E-2</v>
      </c>
      <c r="N241">
        <f>IFERROR(VLOOKUP(BikeData[[#This Row],[Intents]],[1]!Table2[#Data],5,FALSE),"")</f>
        <v>3</v>
      </c>
      <c r="O241">
        <f>IFERROR(VLOOKUP(BikeData[[#This Row],[Intents]],[1]!Table2[#Data],6,FALSE),"")</f>
        <v>214</v>
      </c>
      <c r="P241">
        <f>IFERROR(VLOOKUP(BikeData[[#This Row],[Intents]],[1]!Table2[#Data],7,FALSE),"")</f>
        <v>217</v>
      </c>
      <c r="Q241" s="2" t="str">
        <f>CHOOSE(BikeData[[#This Row],[Season]],"Spring","Summer","Fall","Winter")</f>
        <v>Spring</v>
      </c>
      <c r="R241" s="2" t="str">
        <f>CHOOSE(BikeData[[#This Row],[Weathersituation]],"Clear","Mist","Light Rain","Heavy Rain")</f>
        <v>Mist</v>
      </c>
      <c r="S241" s="2" t="str">
        <f>TEXT(BikeData[[#This Row],[Date]],"mmm")</f>
        <v>Jan</v>
      </c>
    </row>
    <row r="242" spans="1:19" x14ac:dyDescent="0.3">
      <c r="A242">
        <v>241</v>
      </c>
      <c r="B242" s="5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 s="6">
        <f>BikeData[[#This Row],[Temperature]]</f>
        <v>0.18</v>
      </c>
      <c r="L242">
        <f>IFERROR(VLOOKUP(BikeData[[#This Row],[Intents]],[1]!Table2[#Data],3,FALSE),"")</f>
        <v>0.51</v>
      </c>
      <c r="M242">
        <f>IFERROR(VLOOKUP(BikeData[[#This Row],[Intents]],[1]!Table2[#Data],4,FALSE),"")</f>
        <v>0.16420000000000001</v>
      </c>
      <c r="N242">
        <f>IFERROR(VLOOKUP(BikeData[[#This Row],[Intents]],[1]!Table2[#Data],5,FALSE),"")</f>
        <v>3</v>
      </c>
      <c r="O242">
        <f>IFERROR(VLOOKUP(BikeData[[#This Row],[Intents]],[1]!Table2[#Data],6,FALSE),"")</f>
        <v>127</v>
      </c>
      <c r="P242">
        <f>IFERROR(VLOOKUP(BikeData[[#This Row],[Intents]],[1]!Table2[#Data],7,FALSE),"")</f>
        <v>130</v>
      </c>
      <c r="Q242" s="2" t="str">
        <f>CHOOSE(BikeData[[#This Row],[Season]],"Spring","Summer","Fall","Winter")</f>
        <v>Spring</v>
      </c>
      <c r="R242" s="2" t="str">
        <f>CHOOSE(BikeData[[#This Row],[Weathersituation]],"Clear","Mist","Light Rain","Heavy Rain")</f>
        <v>Mist</v>
      </c>
      <c r="S242" s="2" t="str">
        <f>TEXT(BikeData[[#This Row],[Date]],"mmm")</f>
        <v>Jan</v>
      </c>
    </row>
    <row r="243" spans="1:19" x14ac:dyDescent="0.3">
      <c r="A243">
        <v>242</v>
      </c>
      <c r="B243" s="5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 s="6">
        <f>BikeData[[#This Row],[Temperature]]</f>
        <v>0.2</v>
      </c>
      <c r="L243">
        <f>IFERROR(VLOOKUP(BikeData[[#This Row],[Intents]],[1]!Table2[#Data],3,FALSE),"")</f>
        <v>0.51</v>
      </c>
      <c r="M243">
        <f>IFERROR(VLOOKUP(BikeData[[#This Row],[Intents]],[1]!Table2[#Data],4,FALSE),"")</f>
        <v>0.16420000000000001</v>
      </c>
      <c r="N243">
        <f>IFERROR(VLOOKUP(BikeData[[#This Row],[Intents]],[1]!Table2[#Data],5,FALSE),"")</f>
        <v>3</v>
      </c>
      <c r="O243">
        <f>IFERROR(VLOOKUP(BikeData[[#This Row],[Intents]],[1]!Table2[#Data],6,FALSE),"")</f>
        <v>51</v>
      </c>
      <c r="P243">
        <f>IFERROR(VLOOKUP(BikeData[[#This Row],[Intents]],[1]!Table2[#Data],7,FALSE),"")</f>
        <v>54</v>
      </c>
      <c r="Q243" s="2" t="str">
        <f>CHOOSE(BikeData[[#This Row],[Season]],"Spring","Summer","Fall","Winter")</f>
        <v>Spring</v>
      </c>
      <c r="R243" s="2" t="str">
        <f>CHOOSE(BikeData[[#This Row],[Weathersituation]],"Clear","Mist","Light Rain","Heavy Rain")</f>
        <v>Mist</v>
      </c>
      <c r="S243" s="2" t="str">
        <f>TEXT(BikeData[[#This Row],[Date]],"mmm")</f>
        <v>Jan</v>
      </c>
    </row>
    <row r="244" spans="1:19" x14ac:dyDescent="0.3">
      <c r="A244">
        <v>243</v>
      </c>
      <c r="B244" s="5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 s="6">
        <f>BikeData[[#This Row],[Temperature]]</f>
        <v>0.2</v>
      </c>
      <c r="L244">
        <f>IFERROR(VLOOKUP(BikeData[[#This Row],[Intents]],[1]!Table2[#Data],3,FALSE),"")</f>
        <v>0.47</v>
      </c>
      <c r="M244">
        <f>IFERROR(VLOOKUP(BikeData[[#This Row],[Intents]],[1]!Table2[#Data],4,FALSE),"")</f>
        <v>0.1343</v>
      </c>
      <c r="N244">
        <f>IFERROR(VLOOKUP(BikeData[[#This Row],[Intents]],[1]!Table2[#Data],5,FALSE),"")</f>
        <v>4</v>
      </c>
      <c r="O244">
        <f>IFERROR(VLOOKUP(BikeData[[#This Row],[Intents]],[1]!Table2[#Data],6,FALSE),"")</f>
        <v>31</v>
      </c>
      <c r="P244">
        <f>IFERROR(VLOOKUP(BikeData[[#This Row],[Intents]],[1]!Table2[#Data],7,FALSE),"")</f>
        <v>35</v>
      </c>
      <c r="Q244" s="2" t="str">
        <f>CHOOSE(BikeData[[#This Row],[Season]],"Spring","Summer","Fall","Winter")</f>
        <v>Spring</v>
      </c>
      <c r="R244" s="2" t="str">
        <f>CHOOSE(BikeData[[#This Row],[Weathersituation]],"Clear","Mist","Light Rain","Heavy Rain")</f>
        <v>Mist</v>
      </c>
      <c r="S244" s="2" t="str">
        <f>TEXT(BikeData[[#This Row],[Date]],"mmm")</f>
        <v>Jan</v>
      </c>
    </row>
    <row r="245" spans="1:19" x14ac:dyDescent="0.3">
      <c r="A245">
        <v>244</v>
      </c>
      <c r="B245" s="5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 s="6">
        <f>BikeData[[#This Row],[Temperature]]</f>
        <v>0.2</v>
      </c>
      <c r="L245">
        <f>IFERROR(VLOOKUP(BikeData[[#This Row],[Intents]],[1]!Table2[#Data],3,FALSE),"")</f>
        <v>0.51</v>
      </c>
      <c r="M245">
        <f>IFERROR(VLOOKUP(BikeData[[#This Row],[Intents]],[1]!Table2[#Data],4,FALSE),"")</f>
        <v>0.1045</v>
      </c>
      <c r="N245">
        <f>IFERROR(VLOOKUP(BikeData[[#This Row],[Intents]],[1]!Table2[#Data],5,FALSE),"")</f>
        <v>2</v>
      </c>
      <c r="O245">
        <f>IFERROR(VLOOKUP(BikeData[[#This Row],[Intents]],[1]!Table2[#Data],6,FALSE),"")</f>
        <v>55</v>
      </c>
      <c r="P245">
        <f>IFERROR(VLOOKUP(BikeData[[#This Row],[Intents]],[1]!Table2[#Data],7,FALSE),"")</f>
        <v>57</v>
      </c>
      <c r="Q245" s="2" t="str">
        <f>CHOOSE(BikeData[[#This Row],[Season]],"Spring","Summer","Fall","Winter")</f>
        <v>Spring</v>
      </c>
      <c r="R245" s="2" t="str">
        <f>CHOOSE(BikeData[[#This Row],[Weathersituation]],"Clear","Mist","Light Rain","Heavy Rain")</f>
        <v>Mist</v>
      </c>
      <c r="S245" s="2" t="str">
        <f>TEXT(BikeData[[#This Row],[Date]],"mmm")</f>
        <v>Jan</v>
      </c>
    </row>
    <row r="246" spans="1:19" x14ac:dyDescent="0.3">
      <c r="A246">
        <v>245</v>
      </c>
      <c r="B246" s="5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 s="6">
        <f>BikeData[[#This Row],[Temperature]]</f>
        <v>0.2</v>
      </c>
      <c r="L246">
        <f>IFERROR(VLOOKUP(BikeData[[#This Row],[Intents]],[1]!Table2[#Data],3,FALSE),"")</f>
        <v>0.59</v>
      </c>
      <c r="M246">
        <f>IFERROR(VLOOKUP(BikeData[[#This Row],[Intents]],[1]!Table2[#Data],4,FALSE),"")</f>
        <v>8.9599999999999999E-2</v>
      </c>
      <c r="N246">
        <f>IFERROR(VLOOKUP(BikeData[[#This Row],[Intents]],[1]!Table2[#Data],5,FALSE),"")</f>
        <v>6</v>
      </c>
      <c r="O246">
        <f>IFERROR(VLOOKUP(BikeData[[#This Row],[Intents]],[1]!Table2[#Data],6,FALSE),"")</f>
        <v>46</v>
      </c>
      <c r="P246">
        <f>IFERROR(VLOOKUP(BikeData[[#This Row],[Intents]],[1]!Table2[#Data],7,FALSE),"")</f>
        <v>52</v>
      </c>
      <c r="Q246" s="2" t="str">
        <f>CHOOSE(BikeData[[#This Row],[Season]],"Spring","Summer","Fall","Winter")</f>
        <v>Spring</v>
      </c>
      <c r="R246" s="2" t="str">
        <f>CHOOSE(BikeData[[#This Row],[Weathersituation]],"Clear","Mist","Light Rain","Heavy Rain")</f>
        <v>Mist</v>
      </c>
      <c r="S246" s="2" t="str">
        <f>TEXT(BikeData[[#This Row],[Date]],"mmm")</f>
        <v>Jan</v>
      </c>
    </row>
    <row r="247" spans="1:19" x14ac:dyDescent="0.3">
      <c r="A247">
        <v>246</v>
      </c>
      <c r="B247" s="5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 s="6">
        <f>BikeData[[#This Row],[Temperature]]</f>
        <v>0.2</v>
      </c>
      <c r="L247">
        <f>IFERROR(VLOOKUP(BikeData[[#This Row],[Intents]],[1]!Table2[#Data],3,FALSE),"")</f>
        <v>0.59</v>
      </c>
      <c r="M247">
        <f>IFERROR(VLOOKUP(BikeData[[#This Row],[Intents]],[1]!Table2[#Data],4,FALSE),"")</f>
        <v>8.9599999999999999E-2</v>
      </c>
      <c r="N247">
        <f>IFERROR(VLOOKUP(BikeData[[#This Row],[Intents]],[1]!Table2[#Data],5,FALSE),"")</f>
        <v>3</v>
      </c>
      <c r="O247">
        <f>IFERROR(VLOOKUP(BikeData[[#This Row],[Intents]],[1]!Table2[#Data],6,FALSE),"")</f>
        <v>60</v>
      </c>
      <c r="P247">
        <f>IFERROR(VLOOKUP(BikeData[[#This Row],[Intents]],[1]!Table2[#Data],7,FALSE),"")</f>
        <v>63</v>
      </c>
      <c r="Q247" s="2" t="str">
        <f>CHOOSE(BikeData[[#This Row],[Season]],"Spring","Summer","Fall","Winter")</f>
        <v>Spring</v>
      </c>
      <c r="R247" s="2" t="str">
        <f>CHOOSE(BikeData[[#This Row],[Weathersituation]],"Clear","Mist","Light Rain","Heavy Rain")</f>
        <v>Mist</v>
      </c>
      <c r="S247" s="2" t="str">
        <f>TEXT(BikeData[[#This Row],[Date]],"mmm")</f>
        <v>Jan</v>
      </c>
    </row>
    <row r="248" spans="1:19" x14ac:dyDescent="0.3">
      <c r="A248">
        <v>247</v>
      </c>
      <c r="B248" s="5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 s="6">
        <f>BikeData[[#This Row],[Temperature]]</f>
        <v>0.16</v>
      </c>
      <c r="L248">
        <f>IFERROR(VLOOKUP(BikeData[[#This Row],[Intents]],[1]!Table2[#Data],3,FALSE),"")</f>
        <v>0.8</v>
      </c>
      <c r="M248">
        <f>IFERROR(VLOOKUP(BikeData[[#This Row],[Intents]],[1]!Table2[#Data],4,FALSE),"")</f>
        <v>8.9599999999999999E-2</v>
      </c>
      <c r="N248">
        <f>IFERROR(VLOOKUP(BikeData[[#This Row],[Intents]],[1]!Table2[#Data],5,FALSE),"")</f>
        <v>2</v>
      </c>
      <c r="O248">
        <f>IFERROR(VLOOKUP(BikeData[[#This Row],[Intents]],[1]!Table2[#Data],6,FALSE),"")</f>
        <v>45</v>
      </c>
      <c r="P248">
        <f>IFERROR(VLOOKUP(BikeData[[#This Row],[Intents]],[1]!Table2[#Data],7,FALSE),"")</f>
        <v>47</v>
      </c>
      <c r="Q248" s="2" t="str">
        <f>CHOOSE(BikeData[[#This Row],[Season]],"Spring","Summer","Fall","Winter")</f>
        <v>Spring</v>
      </c>
      <c r="R248" s="2" t="str">
        <f>CHOOSE(BikeData[[#This Row],[Weathersituation]],"Clear","Mist","Light Rain","Heavy Rain")</f>
        <v>Mist</v>
      </c>
      <c r="S248" s="2" t="str">
        <f>TEXT(BikeData[[#This Row],[Date]],"mmm")</f>
        <v>Jan</v>
      </c>
    </row>
    <row r="249" spans="1:19" x14ac:dyDescent="0.3">
      <c r="A249">
        <v>248</v>
      </c>
      <c r="B249" s="5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 s="6">
        <f>BikeData[[#This Row],[Temperature]]</f>
        <v>0.16</v>
      </c>
      <c r="L249">
        <f>IFERROR(VLOOKUP(BikeData[[#This Row],[Intents]],[1]!Table2[#Data],3,FALSE),"")</f>
        <v>0.86</v>
      </c>
      <c r="M249">
        <f>IFERROR(VLOOKUP(BikeData[[#This Row],[Intents]],[1]!Table2[#Data],4,FALSE),"")</f>
        <v>0.22389999999999999</v>
      </c>
      <c r="N249">
        <f>IFERROR(VLOOKUP(BikeData[[#This Row],[Intents]],[1]!Table2[#Data],5,FALSE),"")</f>
        <v>4</v>
      </c>
      <c r="O249">
        <f>IFERROR(VLOOKUP(BikeData[[#This Row],[Intents]],[1]!Table2[#Data],6,FALSE),"")</f>
        <v>72</v>
      </c>
      <c r="P249">
        <f>IFERROR(VLOOKUP(BikeData[[#This Row],[Intents]],[1]!Table2[#Data],7,FALSE),"")</f>
        <v>76</v>
      </c>
      <c r="Q249" s="2" t="str">
        <f>CHOOSE(BikeData[[#This Row],[Season]],"Spring","Summer","Fall","Winter")</f>
        <v>Spring</v>
      </c>
      <c r="R249" s="2" t="str">
        <f>CHOOSE(BikeData[[#This Row],[Weathersituation]],"Clear","Mist","Light Rain","Heavy Rain")</f>
        <v>Mist</v>
      </c>
      <c r="S249" s="2" t="str">
        <f>TEXT(BikeData[[#This Row],[Date]],"mmm")</f>
        <v>Jan</v>
      </c>
    </row>
    <row r="250" spans="1:19" x14ac:dyDescent="0.3">
      <c r="A250">
        <v>249</v>
      </c>
      <c r="B250" s="5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 s="6">
        <f>BikeData[[#This Row],[Temperature]]</f>
        <v>0.16</v>
      </c>
      <c r="L250">
        <f>IFERROR(VLOOKUP(BikeData[[#This Row],[Intents]],[1]!Table2[#Data],3,FALSE),"")</f>
        <v>0.86</v>
      </c>
      <c r="M250">
        <f>IFERROR(VLOOKUP(BikeData[[#This Row],[Intents]],[1]!Table2[#Data],4,FALSE),"")</f>
        <v>0.22389999999999999</v>
      </c>
      <c r="N250">
        <f>IFERROR(VLOOKUP(BikeData[[#This Row],[Intents]],[1]!Table2[#Data],5,FALSE),"")</f>
        <v>6</v>
      </c>
      <c r="O250">
        <f>IFERROR(VLOOKUP(BikeData[[#This Row],[Intents]],[1]!Table2[#Data],6,FALSE),"")</f>
        <v>130</v>
      </c>
      <c r="P250">
        <f>IFERROR(VLOOKUP(BikeData[[#This Row],[Intents]],[1]!Table2[#Data],7,FALSE),"")</f>
        <v>136</v>
      </c>
      <c r="Q250" s="2" t="str">
        <f>CHOOSE(BikeData[[#This Row],[Season]],"Spring","Summer","Fall","Winter")</f>
        <v>Spring</v>
      </c>
      <c r="R250" s="2" t="str">
        <f>CHOOSE(BikeData[[#This Row],[Weathersituation]],"Clear","Mist","Light Rain","Heavy Rain")</f>
        <v>Mist</v>
      </c>
      <c r="S250" s="2" t="str">
        <f>TEXT(BikeData[[#This Row],[Date]],"mmm")</f>
        <v>Jan</v>
      </c>
    </row>
    <row r="251" spans="1:19" x14ac:dyDescent="0.3">
      <c r="A251">
        <v>250</v>
      </c>
      <c r="B251" s="5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 s="6">
        <f>BikeData[[#This Row],[Temperature]]</f>
        <v>0.16</v>
      </c>
      <c r="L251">
        <f>IFERROR(VLOOKUP(BikeData[[#This Row],[Intents]],[1]!Table2[#Data],3,FALSE),"")</f>
        <v>0.93</v>
      </c>
      <c r="M251">
        <f>IFERROR(VLOOKUP(BikeData[[#This Row],[Intents]],[1]!Table2[#Data],4,FALSE),"")</f>
        <v>0.1045</v>
      </c>
      <c r="N251">
        <f>IFERROR(VLOOKUP(BikeData[[#This Row],[Intents]],[1]!Table2[#Data],5,FALSE),"")</f>
        <v>1</v>
      </c>
      <c r="O251">
        <f>IFERROR(VLOOKUP(BikeData[[#This Row],[Intents]],[1]!Table2[#Data],6,FALSE),"")</f>
        <v>94</v>
      </c>
      <c r="P251">
        <f>IFERROR(VLOOKUP(BikeData[[#This Row],[Intents]],[1]!Table2[#Data],7,FALSE),"")</f>
        <v>95</v>
      </c>
      <c r="Q251" s="2" t="str">
        <f>CHOOSE(BikeData[[#This Row],[Season]],"Spring","Summer","Fall","Winter")</f>
        <v>Spring</v>
      </c>
      <c r="R251" s="2" t="str">
        <f>CHOOSE(BikeData[[#This Row],[Weathersituation]],"Clear","Mist","Light Rain","Heavy Rain")</f>
        <v>Light Rain</v>
      </c>
      <c r="S251" s="2" t="str">
        <f>TEXT(BikeData[[#This Row],[Date]],"mmm")</f>
        <v>Jan</v>
      </c>
    </row>
    <row r="252" spans="1:19" x14ac:dyDescent="0.3">
      <c r="A252">
        <v>251</v>
      </c>
      <c r="B252" s="5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 s="6">
        <f>BikeData[[#This Row],[Temperature]]</f>
        <v>0.16</v>
      </c>
      <c r="L252">
        <f>IFERROR(VLOOKUP(BikeData[[#This Row],[Intents]],[1]!Table2[#Data],3,FALSE),"")</f>
        <v>0.93</v>
      </c>
      <c r="M252">
        <f>IFERROR(VLOOKUP(BikeData[[#This Row],[Intents]],[1]!Table2[#Data],4,FALSE),"")</f>
        <v>0</v>
      </c>
      <c r="N252">
        <f>IFERROR(VLOOKUP(BikeData[[#This Row],[Intents]],[1]!Table2[#Data],5,FALSE),"")</f>
        <v>0</v>
      </c>
      <c r="O252">
        <f>IFERROR(VLOOKUP(BikeData[[#This Row],[Intents]],[1]!Table2[#Data],6,FALSE),"")</f>
        <v>51</v>
      </c>
      <c r="P252">
        <f>IFERROR(VLOOKUP(BikeData[[#This Row],[Intents]],[1]!Table2[#Data],7,FALSE),"")</f>
        <v>51</v>
      </c>
      <c r="Q252" s="2" t="str">
        <f>CHOOSE(BikeData[[#This Row],[Season]],"Spring","Summer","Fall","Winter")</f>
        <v>Spring</v>
      </c>
      <c r="R252" s="2" t="str">
        <f>CHOOSE(BikeData[[#This Row],[Weathersituation]],"Clear","Mist","Light Rain","Heavy Rain")</f>
        <v>Light Rain</v>
      </c>
      <c r="S252" s="2" t="str">
        <f>TEXT(BikeData[[#This Row],[Date]],"mmm")</f>
        <v>Jan</v>
      </c>
    </row>
    <row r="253" spans="1:19" x14ac:dyDescent="0.3">
      <c r="A253">
        <v>252</v>
      </c>
      <c r="B253" s="5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 s="6">
        <f>BikeData[[#This Row],[Temperature]]</f>
        <v>0.16</v>
      </c>
      <c r="L253">
        <f>IFERROR(VLOOKUP(BikeData[[#This Row],[Intents]],[1]!Table2[#Data],3,FALSE),"")</f>
        <v>0.93</v>
      </c>
      <c r="M253">
        <f>IFERROR(VLOOKUP(BikeData[[#This Row],[Intents]],[1]!Table2[#Data],4,FALSE),"")</f>
        <v>0.19400000000000001</v>
      </c>
      <c r="N253">
        <f>IFERROR(VLOOKUP(BikeData[[#This Row],[Intents]],[1]!Table2[#Data],5,FALSE),"")</f>
        <v>0</v>
      </c>
      <c r="O253">
        <f>IFERROR(VLOOKUP(BikeData[[#This Row],[Intents]],[1]!Table2[#Data],6,FALSE),"")</f>
        <v>32</v>
      </c>
      <c r="P253">
        <f>IFERROR(VLOOKUP(BikeData[[#This Row],[Intents]],[1]!Table2[#Data],7,FALSE),"")</f>
        <v>32</v>
      </c>
      <c r="Q253" s="2" t="str">
        <f>CHOOSE(BikeData[[#This Row],[Season]],"Spring","Summer","Fall","Winter")</f>
        <v>Spring</v>
      </c>
      <c r="R253" s="2" t="str">
        <f>CHOOSE(BikeData[[#This Row],[Weathersituation]],"Clear","Mist","Light Rain","Heavy Rain")</f>
        <v>Light Rain</v>
      </c>
      <c r="S253" s="2" t="str">
        <f>TEXT(BikeData[[#This Row],[Date]],"mmm")</f>
        <v>Jan</v>
      </c>
    </row>
    <row r="254" spans="1:19" x14ac:dyDescent="0.3">
      <c r="A254">
        <v>253</v>
      </c>
      <c r="B254" s="5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 s="6">
        <f>BikeData[[#This Row],[Temperature]]</f>
        <v>0.16</v>
      </c>
      <c r="L254">
        <f>IFERROR(VLOOKUP(BikeData[[#This Row],[Intents]],[1]!Table2[#Data],3,FALSE),"")</f>
        <v>0.86</v>
      </c>
      <c r="M254">
        <f>IFERROR(VLOOKUP(BikeData[[#This Row],[Intents]],[1]!Table2[#Data],4,FALSE),"")</f>
        <v>8.9599999999999999E-2</v>
      </c>
      <c r="N254">
        <f>IFERROR(VLOOKUP(BikeData[[#This Row],[Intents]],[1]!Table2[#Data],5,FALSE),"")</f>
        <v>0</v>
      </c>
      <c r="O254">
        <f>IFERROR(VLOOKUP(BikeData[[#This Row],[Intents]],[1]!Table2[#Data],6,FALSE),"")</f>
        <v>20</v>
      </c>
      <c r="P254">
        <f>IFERROR(VLOOKUP(BikeData[[#This Row],[Intents]],[1]!Table2[#Data],7,FALSE),"")</f>
        <v>20</v>
      </c>
      <c r="Q254" s="2" t="str">
        <f>CHOOSE(BikeData[[#This Row],[Season]],"Spring","Summer","Fall","Winter")</f>
        <v>Spring</v>
      </c>
      <c r="R254" s="2" t="str">
        <f>CHOOSE(BikeData[[#This Row],[Weathersituation]],"Clear","Mist","Light Rain","Heavy Rain")</f>
        <v>Light Rain</v>
      </c>
      <c r="S254" s="2" t="str">
        <f>TEXT(BikeData[[#This Row],[Date]],"mmm")</f>
        <v>Jan</v>
      </c>
    </row>
    <row r="255" spans="1:19" x14ac:dyDescent="0.3">
      <c r="A255">
        <v>254</v>
      </c>
      <c r="B255" s="5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 s="6">
        <f>BikeData[[#This Row],[Temperature]]</f>
        <v>0.16</v>
      </c>
      <c r="L255">
        <f>IFERROR(VLOOKUP(BikeData[[#This Row],[Intents]],[1]!Table2[#Data],3,FALSE),"")</f>
        <v>0.93</v>
      </c>
      <c r="M255">
        <f>IFERROR(VLOOKUP(BikeData[[#This Row],[Intents]],[1]!Table2[#Data],4,FALSE),"")</f>
        <v>0.1045</v>
      </c>
      <c r="N255">
        <f>IFERROR(VLOOKUP(BikeData[[#This Row],[Intents]],[1]!Table2[#Data],5,FALSE),"")</f>
        <v>1</v>
      </c>
      <c r="O255">
        <f>IFERROR(VLOOKUP(BikeData[[#This Row],[Intents]],[1]!Table2[#Data],6,FALSE),"")</f>
        <v>28</v>
      </c>
      <c r="P255">
        <f>IFERROR(VLOOKUP(BikeData[[#This Row],[Intents]],[1]!Table2[#Data],7,FALSE),"")</f>
        <v>29</v>
      </c>
      <c r="Q255" s="2" t="str">
        <f>CHOOSE(BikeData[[#This Row],[Season]],"Spring","Summer","Fall","Winter")</f>
        <v>Spring</v>
      </c>
      <c r="R255" s="2" t="str">
        <f>CHOOSE(BikeData[[#This Row],[Weathersituation]],"Clear","Mist","Light Rain","Heavy Rain")</f>
        <v>Light Rain</v>
      </c>
      <c r="S255" s="2" t="str">
        <f>TEXT(BikeData[[#This Row],[Date]],"mmm")</f>
        <v>Jan</v>
      </c>
    </row>
    <row r="256" spans="1:19" x14ac:dyDescent="0.3">
      <c r="A256">
        <v>255</v>
      </c>
      <c r="B256" s="5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 s="6">
        <f>BikeData[[#This Row],[Temperature]]</f>
        <v>0.16</v>
      </c>
      <c r="L256">
        <f>IFERROR(VLOOKUP(BikeData[[#This Row],[Intents]],[1]!Table2[#Data],3,FALSE),"")</f>
        <v>0.93</v>
      </c>
      <c r="M256">
        <f>IFERROR(VLOOKUP(BikeData[[#This Row],[Intents]],[1]!Table2[#Data],4,FALSE),"")</f>
        <v>8.9599999999999999E-2</v>
      </c>
      <c r="N256">
        <f>IFERROR(VLOOKUP(BikeData[[#This Row],[Intents]],[1]!Table2[#Data],5,FALSE),"")</f>
        <v>1</v>
      </c>
      <c r="O256">
        <f>IFERROR(VLOOKUP(BikeData[[#This Row],[Intents]],[1]!Table2[#Data],6,FALSE),"")</f>
        <v>18</v>
      </c>
      <c r="P256">
        <f>IFERROR(VLOOKUP(BikeData[[#This Row],[Intents]],[1]!Table2[#Data],7,FALSE),"")</f>
        <v>19</v>
      </c>
      <c r="Q256" s="2" t="str">
        <f>CHOOSE(BikeData[[#This Row],[Season]],"Spring","Summer","Fall","Winter")</f>
        <v>Spring</v>
      </c>
      <c r="R256" s="2" t="str">
        <f>CHOOSE(BikeData[[#This Row],[Weathersituation]],"Clear","Mist","Light Rain","Heavy Rain")</f>
        <v>Light Rain</v>
      </c>
      <c r="S256" s="2" t="str">
        <f>TEXT(BikeData[[#This Row],[Date]],"mmm")</f>
        <v>Jan</v>
      </c>
    </row>
    <row r="257" spans="1:19" x14ac:dyDescent="0.3">
      <c r="A257">
        <v>256</v>
      </c>
      <c r="B257" s="5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 s="6">
        <f>BikeData[[#This Row],[Temperature]]</f>
        <v>0.16</v>
      </c>
      <c r="L257">
        <f>IFERROR(VLOOKUP(BikeData[[#This Row],[Intents]],[1]!Table2[#Data],3,FALSE),"")</f>
        <v>0.86</v>
      </c>
      <c r="M257">
        <f>IFERROR(VLOOKUP(BikeData[[#This Row],[Intents]],[1]!Table2[#Data],4,FALSE),"")</f>
        <v>8.9599999999999999E-2</v>
      </c>
      <c r="N257">
        <f>IFERROR(VLOOKUP(BikeData[[#This Row],[Intents]],[1]!Table2[#Data],5,FALSE),"")</f>
        <v>0</v>
      </c>
      <c r="O257">
        <f>IFERROR(VLOOKUP(BikeData[[#This Row],[Intents]],[1]!Table2[#Data],6,FALSE),"")</f>
        <v>7</v>
      </c>
      <c r="P257">
        <f>IFERROR(VLOOKUP(BikeData[[#This Row],[Intents]],[1]!Table2[#Data],7,FALSE),"")</f>
        <v>7</v>
      </c>
      <c r="Q257" s="2" t="str">
        <f>CHOOSE(BikeData[[#This Row],[Season]],"Spring","Summer","Fall","Winter")</f>
        <v>Spring</v>
      </c>
      <c r="R257" s="2" t="str">
        <f>CHOOSE(BikeData[[#This Row],[Weathersituation]],"Clear","Mist","Light Rain","Heavy Rain")</f>
        <v>Mist</v>
      </c>
      <c r="S257" s="2" t="str">
        <f>TEXT(BikeData[[#This Row],[Date]],"mmm")</f>
        <v>Jan</v>
      </c>
    </row>
    <row r="258" spans="1:19" x14ac:dyDescent="0.3">
      <c r="A258">
        <v>257</v>
      </c>
      <c r="B258" s="5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 s="6">
        <f>BikeData[[#This Row],[Temperature]]</f>
        <v>0.16</v>
      </c>
      <c r="L258">
        <f>IFERROR(VLOOKUP(BikeData[[#This Row],[Intents]],[1]!Table2[#Data],3,FALSE),"")</f>
        <v>0.86</v>
      </c>
      <c r="M258">
        <f>IFERROR(VLOOKUP(BikeData[[#This Row],[Intents]],[1]!Table2[#Data],4,FALSE),"")</f>
        <v>0.1045</v>
      </c>
      <c r="N258">
        <f>IFERROR(VLOOKUP(BikeData[[#This Row],[Intents]],[1]!Table2[#Data],5,FALSE),"")</f>
        <v>0</v>
      </c>
      <c r="O258">
        <f>IFERROR(VLOOKUP(BikeData[[#This Row],[Intents]],[1]!Table2[#Data],6,FALSE),"")</f>
        <v>6</v>
      </c>
      <c r="P258">
        <f>IFERROR(VLOOKUP(BikeData[[#This Row],[Intents]],[1]!Table2[#Data],7,FALSE),"")</f>
        <v>6</v>
      </c>
      <c r="Q258" s="2" t="str">
        <f>CHOOSE(BikeData[[#This Row],[Season]],"Spring","Summer","Fall","Winter")</f>
        <v>Spring</v>
      </c>
      <c r="R258" s="2" t="str">
        <f>CHOOSE(BikeData[[#This Row],[Weathersituation]],"Clear","Mist","Light Rain","Heavy Rain")</f>
        <v>Mist</v>
      </c>
      <c r="S258" s="2" t="str">
        <f>TEXT(BikeData[[#This Row],[Date]],"mmm")</f>
        <v>Jan</v>
      </c>
    </row>
    <row r="259" spans="1:19" x14ac:dyDescent="0.3">
      <c r="A259">
        <v>258</v>
      </c>
      <c r="B259" s="5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 s="6">
        <f>BikeData[[#This Row],[Temperature]]</f>
        <v>0.14000000000000001</v>
      </c>
      <c r="L259">
        <f>IFERROR(VLOOKUP(BikeData[[#This Row],[Intents]],[1]!Table2[#Data],3,FALSE),"")</f>
        <v>0.86</v>
      </c>
      <c r="M259">
        <f>IFERROR(VLOOKUP(BikeData[[#This Row],[Intents]],[1]!Table2[#Data],4,FALSE),"")</f>
        <v>0.1343</v>
      </c>
      <c r="N259">
        <f>IFERROR(VLOOKUP(BikeData[[#This Row],[Intents]],[1]!Table2[#Data],5,FALSE),"")</f>
        <v>0</v>
      </c>
      <c r="O259">
        <f>IFERROR(VLOOKUP(BikeData[[#This Row],[Intents]],[1]!Table2[#Data],6,FALSE),"")</f>
        <v>1</v>
      </c>
      <c r="P259">
        <f>IFERROR(VLOOKUP(BikeData[[#This Row],[Intents]],[1]!Table2[#Data],7,FALSE),"")</f>
        <v>1</v>
      </c>
      <c r="Q259" s="2" t="str">
        <f>CHOOSE(BikeData[[#This Row],[Season]],"Spring","Summer","Fall","Winter")</f>
        <v>Spring</v>
      </c>
      <c r="R259" s="2" t="str">
        <f>CHOOSE(BikeData[[#This Row],[Weathersituation]],"Clear","Mist","Light Rain","Heavy Rain")</f>
        <v>Clear</v>
      </c>
      <c r="S259" s="2" t="str">
        <f>TEXT(BikeData[[#This Row],[Date]],"mmm")</f>
        <v>Jan</v>
      </c>
    </row>
    <row r="260" spans="1:19" x14ac:dyDescent="0.3">
      <c r="A260">
        <v>259</v>
      </c>
      <c r="B260" s="5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 s="6">
        <f>BikeData[[#This Row],[Temperature]]</f>
        <v>0.14000000000000001</v>
      </c>
      <c r="L260">
        <f>IFERROR(VLOOKUP(BikeData[[#This Row],[Intents]],[1]!Table2[#Data],3,FALSE),"")</f>
        <v>0.86</v>
      </c>
      <c r="M260">
        <f>IFERROR(VLOOKUP(BikeData[[#This Row],[Intents]],[1]!Table2[#Data],4,FALSE),"")</f>
        <v>0.16420000000000001</v>
      </c>
      <c r="N260">
        <f>IFERROR(VLOOKUP(BikeData[[#This Row],[Intents]],[1]!Table2[#Data],5,FALSE),"")</f>
        <v>0</v>
      </c>
      <c r="O260">
        <f>IFERROR(VLOOKUP(BikeData[[#This Row],[Intents]],[1]!Table2[#Data],6,FALSE),"")</f>
        <v>5</v>
      </c>
      <c r="P260">
        <f>IFERROR(VLOOKUP(BikeData[[#This Row],[Intents]],[1]!Table2[#Data],7,FALSE),"")</f>
        <v>5</v>
      </c>
      <c r="Q260" s="2" t="str">
        <f>CHOOSE(BikeData[[#This Row],[Season]],"Spring","Summer","Fall","Winter")</f>
        <v>Spring</v>
      </c>
      <c r="R260" s="2" t="str">
        <f>CHOOSE(BikeData[[#This Row],[Weathersituation]],"Clear","Mist","Light Rain","Heavy Rain")</f>
        <v>Clear</v>
      </c>
      <c r="S260" s="2" t="str">
        <f>TEXT(BikeData[[#This Row],[Date]],"mmm")</f>
        <v>Jan</v>
      </c>
    </row>
    <row r="261" spans="1:19" x14ac:dyDescent="0.3">
      <c r="A261">
        <v>260</v>
      </c>
      <c r="B261" s="5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 s="6">
        <f>BikeData[[#This Row],[Temperature]]</f>
        <v>0.12</v>
      </c>
      <c r="L261">
        <f>IFERROR(VLOOKUP(BikeData[[#This Row],[Intents]],[1]!Table2[#Data],3,FALSE),"")</f>
        <v>0.93</v>
      </c>
      <c r="M261">
        <f>IFERROR(VLOOKUP(BikeData[[#This Row],[Intents]],[1]!Table2[#Data],4,FALSE),"")</f>
        <v>0.1343</v>
      </c>
      <c r="N261">
        <f>IFERROR(VLOOKUP(BikeData[[#This Row],[Intents]],[1]!Table2[#Data],5,FALSE),"")</f>
        <v>0</v>
      </c>
      <c r="O261">
        <f>IFERROR(VLOOKUP(BikeData[[#This Row],[Intents]],[1]!Table2[#Data],6,FALSE),"")</f>
        <v>16</v>
      </c>
      <c r="P261">
        <f>IFERROR(VLOOKUP(BikeData[[#This Row],[Intents]],[1]!Table2[#Data],7,FALSE),"")</f>
        <v>16</v>
      </c>
      <c r="Q261" s="2" t="str">
        <f>CHOOSE(BikeData[[#This Row],[Season]],"Spring","Summer","Fall","Winter")</f>
        <v>Spring</v>
      </c>
      <c r="R261" s="2" t="str">
        <f>CHOOSE(BikeData[[#This Row],[Weathersituation]],"Clear","Mist","Light Rain","Heavy Rain")</f>
        <v>Clear</v>
      </c>
      <c r="S261" s="2" t="str">
        <f>TEXT(BikeData[[#This Row],[Date]],"mmm")</f>
        <v>Jan</v>
      </c>
    </row>
    <row r="262" spans="1:19" x14ac:dyDescent="0.3">
      <c r="A262">
        <v>261</v>
      </c>
      <c r="B262" s="5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 s="6">
        <f>BikeData[[#This Row],[Temperature]]</f>
        <v>0.14000000000000001</v>
      </c>
      <c r="L262">
        <f>IFERROR(VLOOKUP(BikeData[[#This Row],[Intents]],[1]!Table2[#Data],3,FALSE),"")</f>
        <v>0.69</v>
      </c>
      <c r="M262">
        <f>IFERROR(VLOOKUP(BikeData[[#This Row],[Intents]],[1]!Table2[#Data],4,FALSE),"")</f>
        <v>0.1343</v>
      </c>
      <c r="N262">
        <f>IFERROR(VLOOKUP(BikeData[[#This Row],[Intents]],[1]!Table2[#Data],5,FALSE),"")</f>
        <v>0</v>
      </c>
      <c r="O262">
        <f>IFERROR(VLOOKUP(BikeData[[#This Row],[Intents]],[1]!Table2[#Data],6,FALSE),"")</f>
        <v>54</v>
      </c>
      <c r="P262">
        <f>IFERROR(VLOOKUP(BikeData[[#This Row],[Intents]],[1]!Table2[#Data],7,FALSE),"")</f>
        <v>54</v>
      </c>
      <c r="Q262" s="2" t="str">
        <f>CHOOSE(BikeData[[#This Row],[Season]],"Spring","Summer","Fall","Winter")</f>
        <v>Spring</v>
      </c>
      <c r="R262" s="2" t="str">
        <f>CHOOSE(BikeData[[#This Row],[Weathersituation]],"Clear","Mist","Light Rain","Heavy Rain")</f>
        <v>Clear</v>
      </c>
      <c r="S262" s="2" t="str">
        <f>TEXT(BikeData[[#This Row],[Date]],"mmm")</f>
        <v>Jan</v>
      </c>
    </row>
    <row r="263" spans="1:19" x14ac:dyDescent="0.3">
      <c r="A263">
        <v>262</v>
      </c>
      <c r="B263" s="5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 s="6">
        <f>BikeData[[#This Row],[Temperature]]</f>
        <v>0.16</v>
      </c>
      <c r="L263">
        <f>IFERROR(VLOOKUP(BikeData[[#This Row],[Intents]],[1]!Table2[#Data],3,FALSE),"")</f>
        <v>0.59</v>
      </c>
      <c r="M263">
        <f>IFERROR(VLOOKUP(BikeData[[#This Row],[Intents]],[1]!Table2[#Data],4,FALSE),"")</f>
        <v>0.16420000000000001</v>
      </c>
      <c r="N263">
        <f>IFERROR(VLOOKUP(BikeData[[#This Row],[Intents]],[1]!Table2[#Data],5,FALSE),"")</f>
        <v>3</v>
      </c>
      <c r="O263">
        <f>IFERROR(VLOOKUP(BikeData[[#This Row],[Intents]],[1]!Table2[#Data],6,FALSE),"")</f>
        <v>125</v>
      </c>
      <c r="P263">
        <f>IFERROR(VLOOKUP(BikeData[[#This Row],[Intents]],[1]!Table2[#Data],7,FALSE),"")</f>
        <v>128</v>
      </c>
      <c r="Q263" s="2" t="str">
        <f>CHOOSE(BikeData[[#This Row],[Season]],"Spring","Summer","Fall","Winter")</f>
        <v>Spring</v>
      </c>
      <c r="R263" s="2" t="str">
        <f>CHOOSE(BikeData[[#This Row],[Weathersituation]],"Clear","Mist","Light Rain","Heavy Rain")</f>
        <v>Clear</v>
      </c>
      <c r="S263" s="2" t="str">
        <f>TEXT(BikeData[[#This Row],[Date]],"mmm")</f>
        <v>Jan</v>
      </c>
    </row>
    <row r="264" spans="1:19" x14ac:dyDescent="0.3">
      <c r="A264">
        <v>263</v>
      </c>
      <c r="B264" s="5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 s="6">
        <f>BikeData[[#This Row],[Temperature]]</f>
        <v>0.16</v>
      </c>
      <c r="L264">
        <f>IFERROR(VLOOKUP(BikeData[[#This Row],[Intents]],[1]!Table2[#Data],3,FALSE),"")</f>
        <v>0.59</v>
      </c>
      <c r="M264">
        <f>IFERROR(VLOOKUP(BikeData[[#This Row],[Intents]],[1]!Table2[#Data],4,FALSE),"")</f>
        <v>0.32840000000000003</v>
      </c>
      <c r="N264">
        <f>IFERROR(VLOOKUP(BikeData[[#This Row],[Intents]],[1]!Table2[#Data],5,FALSE),"")</f>
        <v>3</v>
      </c>
      <c r="O264">
        <f>IFERROR(VLOOKUP(BikeData[[#This Row],[Intents]],[1]!Table2[#Data],6,FALSE),"")</f>
        <v>78</v>
      </c>
      <c r="P264">
        <f>IFERROR(VLOOKUP(BikeData[[#This Row],[Intents]],[1]!Table2[#Data],7,FALSE),"")</f>
        <v>81</v>
      </c>
      <c r="Q264" s="2" t="str">
        <f>CHOOSE(BikeData[[#This Row],[Season]],"Spring","Summer","Fall","Winter")</f>
        <v>Spring</v>
      </c>
      <c r="R264" s="2" t="str">
        <f>CHOOSE(BikeData[[#This Row],[Weathersituation]],"Clear","Mist","Light Rain","Heavy Rain")</f>
        <v>Clear</v>
      </c>
      <c r="S264" s="2" t="str">
        <f>TEXT(BikeData[[#This Row],[Date]],"mmm")</f>
        <v>Jan</v>
      </c>
    </row>
    <row r="265" spans="1:19" x14ac:dyDescent="0.3">
      <c r="A265">
        <v>264</v>
      </c>
      <c r="B265" s="5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 s="6">
        <f>BikeData[[#This Row],[Temperature]]</f>
        <v>0.18</v>
      </c>
      <c r="L265">
        <f>IFERROR(VLOOKUP(BikeData[[#This Row],[Intents]],[1]!Table2[#Data],3,FALSE),"")</f>
        <v>0.55000000000000004</v>
      </c>
      <c r="M265">
        <f>IFERROR(VLOOKUP(BikeData[[#This Row],[Intents]],[1]!Table2[#Data],4,FALSE),"")</f>
        <v>0.22389999999999999</v>
      </c>
      <c r="N265">
        <f>IFERROR(VLOOKUP(BikeData[[#This Row],[Intents]],[1]!Table2[#Data],5,FALSE),"")</f>
        <v>0</v>
      </c>
      <c r="O265">
        <f>IFERROR(VLOOKUP(BikeData[[#This Row],[Intents]],[1]!Table2[#Data],6,FALSE),"")</f>
        <v>39</v>
      </c>
      <c r="P265">
        <f>IFERROR(VLOOKUP(BikeData[[#This Row],[Intents]],[1]!Table2[#Data],7,FALSE),"")</f>
        <v>39</v>
      </c>
      <c r="Q265" s="2" t="str">
        <f>CHOOSE(BikeData[[#This Row],[Season]],"Spring","Summer","Fall","Winter")</f>
        <v>Spring</v>
      </c>
      <c r="R265" s="2" t="str">
        <f>CHOOSE(BikeData[[#This Row],[Weathersituation]],"Clear","Mist","Light Rain","Heavy Rain")</f>
        <v>Clear</v>
      </c>
      <c r="S265" s="2" t="str">
        <f>TEXT(BikeData[[#This Row],[Date]],"mmm")</f>
        <v>Jan</v>
      </c>
    </row>
    <row r="266" spans="1:19" x14ac:dyDescent="0.3">
      <c r="A266">
        <v>265</v>
      </c>
      <c r="B266" s="5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 s="6">
        <f>BikeData[[#This Row],[Temperature]]</f>
        <v>0.2</v>
      </c>
      <c r="L266">
        <f>IFERROR(VLOOKUP(BikeData[[#This Row],[Intents]],[1]!Table2[#Data],3,FALSE),"")</f>
        <v>0.51</v>
      </c>
      <c r="M266">
        <f>IFERROR(VLOOKUP(BikeData[[#This Row],[Intents]],[1]!Table2[#Data],4,FALSE),"")</f>
        <v>0.3881</v>
      </c>
      <c r="N266">
        <f>IFERROR(VLOOKUP(BikeData[[#This Row],[Intents]],[1]!Table2[#Data],5,FALSE),"")</f>
        <v>3</v>
      </c>
      <c r="O266">
        <f>IFERROR(VLOOKUP(BikeData[[#This Row],[Intents]],[1]!Table2[#Data],6,FALSE),"")</f>
        <v>32</v>
      </c>
      <c r="P266">
        <f>IFERROR(VLOOKUP(BikeData[[#This Row],[Intents]],[1]!Table2[#Data],7,FALSE),"")</f>
        <v>35</v>
      </c>
      <c r="Q266" s="2" t="str">
        <f>CHOOSE(BikeData[[#This Row],[Season]],"Spring","Summer","Fall","Winter")</f>
        <v>Spring</v>
      </c>
      <c r="R266" s="2" t="str">
        <f>CHOOSE(BikeData[[#This Row],[Weathersituation]],"Clear","Mist","Light Rain","Heavy Rain")</f>
        <v>Clear</v>
      </c>
      <c r="S266" s="2" t="str">
        <f>TEXT(BikeData[[#This Row],[Date]],"mmm")</f>
        <v>Jan</v>
      </c>
    </row>
    <row r="267" spans="1:19" x14ac:dyDescent="0.3">
      <c r="A267">
        <v>266</v>
      </c>
      <c r="B267" s="5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 s="6">
        <f>BikeData[[#This Row],[Temperature]]</f>
        <v>0.2</v>
      </c>
      <c r="L267">
        <f>IFERROR(VLOOKUP(BikeData[[#This Row],[Intents]],[1]!Table2[#Data],3,FALSE),"")</f>
        <v>0.47</v>
      </c>
      <c r="M267">
        <f>IFERROR(VLOOKUP(BikeData[[#This Row],[Intents]],[1]!Table2[#Data],4,FALSE),"")</f>
        <v>0.58209999999999995</v>
      </c>
      <c r="N267">
        <f>IFERROR(VLOOKUP(BikeData[[#This Row],[Intents]],[1]!Table2[#Data],5,FALSE),"")</f>
        <v>3</v>
      </c>
      <c r="O267">
        <f>IFERROR(VLOOKUP(BikeData[[#This Row],[Intents]],[1]!Table2[#Data],6,FALSE),"")</f>
        <v>52</v>
      </c>
      <c r="P267">
        <f>IFERROR(VLOOKUP(BikeData[[#This Row],[Intents]],[1]!Table2[#Data],7,FALSE),"")</f>
        <v>55</v>
      </c>
      <c r="Q267" s="2" t="str">
        <f>CHOOSE(BikeData[[#This Row],[Season]],"Spring","Summer","Fall","Winter")</f>
        <v>Spring</v>
      </c>
      <c r="R267" s="2" t="str">
        <f>CHOOSE(BikeData[[#This Row],[Weathersituation]],"Clear","Mist","Light Rain","Heavy Rain")</f>
        <v>Clear</v>
      </c>
      <c r="S267" s="2" t="str">
        <f>TEXT(BikeData[[#This Row],[Date]],"mmm")</f>
        <v>Jan</v>
      </c>
    </row>
    <row r="268" spans="1:19" x14ac:dyDescent="0.3">
      <c r="A268">
        <v>267</v>
      </c>
      <c r="B268" s="5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 s="6">
        <f>BikeData[[#This Row],[Temperature]]</f>
        <v>0.22</v>
      </c>
      <c r="L268">
        <f>IFERROR(VLOOKUP(BikeData[[#This Row],[Intents]],[1]!Table2[#Data],3,FALSE),"")</f>
        <v>0.44</v>
      </c>
      <c r="M268">
        <f>IFERROR(VLOOKUP(BikeData[[#This Row],[Intents]],[1]!Table2[#Data],4,FALSE),"")</f>
        <v>0.35820000000000002</v>
      </c>
      <c r="N268">
        <f>IFERROR(VLOOKUP(BikeData[[#This Row],[Intents]],[1]!Table2[#Data],5,FALSE),"")</f>
        <v>0</v>
      </c>
      <c r="O268">
        <f>IFERROR(VLOOKUP(BikeData[[#This Row],[Intents]],[1]!Table2[#Data],6,FALSE),"")</f>
        <v>49</v>
      </c>
      <c r="P268">
        <f>IFERROR(VLOOKUP(BikeData[[#This Row],[Intents]],[1]!Table2[#Data],7,FALSE),"")</f>
        <v>49</v>
      </c>
      <c r="Q268" s="2" t="str">
        <f>CHOOSE(BikeData[[#This Row],[Season]],"Spring","Summer","Fall","Winter")</f>
        <v>Spring</v>
      </c>
      <c r="R268" s="2" t="str">
        <f>CHOOSE(BikeData[[#This Row],[Weathersituation]],"Clear","Mist","Light Rain","Heavy Rain")</f>
        <v>Clear</v>
      </c>
      <c r="S268" s="2" t="str">
        <f>TEXT(BikeData[[#This Row],[Date]],"mmm")</f>
        <v>Jan</v>
      </c>
    </row>
    <row r="269" spans="1:19" x14ac:dyDescent="0.3">
      <c r="A269">
        <v>268</v>
      </c>
      <c r="B269" s="5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 s="6">
        <f>BikeData[[#This Row],[Temperature]]</f>
        <v>0.2</v>
      </c>
      <c r="L269">
        <f>IFERROR(VLOOKUP(BikeData[[#This Row],[Intents]],[1]!Table2[#Data],3,FALSE),"")</f>
        <v>0.47</v>
      </c>
      <c r="M269">
        <f>IFERROR(VLOOKUP(BikeData[[#This Row],[Intents]],[1]!Table2[#Data],4,FALSE),"")</f>
        <v>0.32840000000000003</v>
      </c>
      <c r="N269">
        <f>IFERROR(VLOOKUP(BikeData[[#This Row],[Intents]],[1]!Table2[#Data],5,FALSE),"")</f>
        <v>0</v>
      </c>
      <c r="O269">
        <f>IFERROR(VLOOKUP(BikeData[[#This Row],[Intents]],[1]!Table2[#Data],6,FALSE),"")</f>
        <v>44</v>
      </c>
      <c r="P269">
        <f>IFERROR(VLOOKUP(BikeData[[#This Row],[Intents]],[1]!Table2[#Data],7,FALSE),"")</f>
        <v>44</v>
      </c>
      <c r="Q269" s="2" t="str">
        <f>CHOOSE(BikeData[[#This Row],[Season]],"Spring","Summer","Fall","Winter")</f>
        <v>Spring</v>
      </c>
      <c r="R269" s="2" t="str">
        <f>CHOOSE(BikeData[[#This Row],[Weathersituation]],"Clear","Mist","Light Rain","Heavy Rain")</f>
        <v>Clear</v>
      </c>
      <c r="S269" s="2" t="str">
        <f>TEXT(BikeData[[#This Row],[Date]],"mmm")</f>
        <v>Jan</v>
      </c>
    </row>
    <row r="270" spans="1:19" x14ac:dyDescent="0.3">
      <c r="A270">
        <v>269</v>
      </c>
      <c r="B270" s="5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 s="6">
        <f>BikeData[[#This Row],[Temperature]]</f>
        <v>0.2</v>
      </c>
      <c r="L270">
        <f>IFERROR(VLOOKUP(BikeData[[#This Row],[Intents]],[1]!Table2[#Data],3,FALSE),"")</f>
        <v>0.47</v>
      </c>
      <c r="M270">
        <f>IFERROR(VLOOKUP(BikeData[[#This Row],[Intents]],[1]!Table2[#Data],4,FALSE),"")</f>
        <v>0.41789999999999999</v>
      </c>
      <c r="N270">
        <f>IFERROR(VLOOKUP(BikeData[[#This Row],[Intents]],[1]!Table2[#Data],5,FALSE),"")</f>
        <v>1</v>
      </c>
      <c r="O270">
        <f>IFERROR(VLOOKUP(BikeData[[#This Row],[Intents]],[1]!Table2[#Data],6,FALSE),"")</f>
        <v>48</v>
      </c>
      <c r="P270">
        <f>IFERROR(VLOOKUP(BikeData[[#This Row],[Intents]],[1]!Table2[#Data],7,FALSE),"")</f>
        <v>49</v>
      </c>
      <c r="Q270" s="2" t="str">
        <f>CHOOSE(BikeData[[#This Row],[Season]],"Spring","Summer","Fall","Winter")</f>
        <v>Spring</v>
      </c>
      <c r="R270" s="2" t="str">
        <f>CHOOSE(BikeData[[#This Row],[Weathersituation]],"Clear","Mist","Light Rain","Heavy Rain")</f>
        <v>Clear</v>
      </c>
      <c r="S270" s="2" t="str">
        <f>TEXT(BikeData[[#This Row],[Date]],"mmm")</f>
        <v>Jan</v>
      </c>
    </row>
    <row r="271" spans="1:19" x14ac:dyDescent="0.3">
      <c r="A271">
        <v>270</v>
      </c>
      <c r="B271" s="5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 s="6">
        <f>BikeData[[#This Row],[Temperature]]</f>
        <v>0.22</v>
      </c>
      <c r="L271">
        <f>IFERROR(VLOOKUP(BikeData[[#This Row],[Intents]],[1]!Table2[#Data],3,FALSE),"")</f>
        <v>0.44</v>
      </c>
      <c r="M271">
        <f>IFERROR(VLOOKUP(BikeData[[#This Row],[Intents]],[1]!Table2[#Data],4,FALSE),"")</f>
        <v>0.32840000000000003</v>
      </c>
      <c r="N271">
        <f>IFERROR(VLOOKUP(BikeData[[#This Row],[Intents]],[1]!Table2[#Data],5,FALSE),"")</f>
        <v>5</v>
      </c>
      <c r="O271">
        <f>IFERROR(VLOOKUP(BikeData[[#This Row],[Intents]],[1]!Table2[#Data],6,FALSE),"")</f>
        <v>63</v>
      </c>
      <c r="P271">
        <f>IFERROR(VLOOKUP(BikeData[[#This Row],[Intents]],[1]!Table2[#Data],7,FALSE),"")</f>
        <v>68</v>
      </c>
      <c r="Q271" s="2" t="str">
        <f>CHOOSE(BikeData[[#This Row],[Season]],"Spring","Summer","Fall","Winter")</f>
        <v>Spring</v>
      </c>
      <c r="R271" s="2" t="str">
        <f>CHOOSE(BikeData[[#This Row],[Weathersituation]],"Clear","Mist","Light Rain","Heavy Rain")</f>
        <v>Clear</v>
      </c>
      <c r="S271" s="2" t="str">
        <f>TEXT(BikeData[[#This Row],[Date]],"mmm")</f>
        <v>Jan</v>
      </c>
    </row>
    <row r="272" spans="1:19" x14ac:dyDescent="0.3">
      <c r="A272">
        <v>271</v>
      </c>
      <c r="B272" s="5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 s="6">
        <f>BikeData[[#This Row],[Temperature]]</f>
        <v>0.2</v>
      </c>
      <c r="L272">
        <f>IFERROR(VLOOKUP(BikeData[[#This Row],[Intents]],[1]!Table2[#Data],3,FALSE),"")</f>
        <v>0.47</v>
      </c>
      <c r="M272">
        <f>IFERROR(VLOOKUP(BikeData[[#This Row],[Intents]],[1]!Table2[#Data],4,FALSE),"")</f>
        <v>0.35820000000000002</v>
      </c>
      <c r="N272">
        <f>IFERROR(VLOOKUP(BikeData[[#This Row],[Intents]],[1]!Table2[#Data],5,FALSE),"")</f>
        <v>0</v>
      </c>
      <c r="O272">
        <f>IFERROR(VLOOKUP(BikeData[[#This Row],[Intents]],[1]!Table2[#Data],6,FALSE),"")</f>
        <v>139</v>
      </c>
      <c r="P272">
        <f>IFERROR(VLOOKUP(BikeData[[#This Row],[Intents]],[1]!Table2[#Data],7,FALSE),"")</f>
        <v>139</v>
      </c>
      <c r="Q272" s="2" t="str">
        <f>CHOOSE(BikeData[[#This Row],[Season]],"Spring","Summer","Fall","Winter")</f>
        <v>Spring</v>
      </c>
      <c r="R272" s="2" t="str">
        <f>CHOOSE(BikeData[[#This Row],[Weathersituation]],"Clear","Mist","Light Rain","Heavy Rain")</f>
        <v>Clear</v>
      </c>
      <c r="S272" s="2" t="str">
        <f>TEXT(BikeData[[#This Row],[Date]],"mmm")</f>
        <v>Jan</v>
      </c>
    </row>
    <row r="273" spans="1:19" x14ac:dyDescent="0.3">
      <c r="A273">
        <v>272</v>
      </c>
      <c r="B273" s="5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 s="6">
        <f>BikeData[[#This Row],[Temperature]]</f>
        <v>0.2</v>
      </c>
      <c r="L273">
        <f>IFERROR(VLOOKUP(BikeData[[#This Row],[Intents]],[1]!Table2[#Data],3,FALSE),"")</f>
        <v>0.47</v>
      </c>
      <c r="M273">
        <f>IFERROR(VLOOKUP(BikeData[[#This Row],[Intents]],[1]!Table2[#Data],4,FALSE),"")</f>
        <v>0.52239999999999998</v>
      </c>
      <c r="N273">
        <f>IFERROR(VLOOKUP(BikeData[[#This Row],[Intents]],[1]!Table2[#Data],5,FALSE),"")</f>
        <v>2</v>
      </c>
      <c r="O273">
        <f>IFERROR(VLOOKUP(BikeData[[#This Row],[Intents]],[1]!Table2[#Data],6,FALSE),"")</f>
        <v>135</v>
      </c>
      <c r="P273">
        <f>IFERROR(VLOOKUP(BikeData[[#This Row],[Intents]],[1]!Table2[#Data],7,FALSE),"")</f>
        <v>137</v>
      </c>
      <c r="Q273" s="2" t="str">
        <f>CHOOSE(BikeData[[#This Row],[Season]],"Spring","Summer","Fall","Winter")</f>
        <v>Spring</v>
      </c>
      <c r="R273" s="2" t="str">
        <f>CHOOSE(BikeData[[#This Row],[Weathersituation]],"Clear","Mist","Light Rain","Heavy Rain")</f>
        <v>Clear</v>
      </c>
      <c r="S273" s="2" t="str">
        <f>TEXT(BikeData[[#This Row],[Date]],"mmm")</f>
        <v>Jan</v>
      </c>
    </row>
    <row r="274" spans="1:19" x14ac:dyDescent="0.3">
      <c r="A274">
        <v>273</v>
      </c>
      <c r="B274" s="5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 s="6">
        <f>BikeData[[#This Row],[Temperature]]</f>
        <v>0.18</v>
      </c>
      <c r="L274">
        <f>IFERROR(VLOOKUP(BikeData[[#This Row],[Intents]],[1]!Table2[#Data],3,FALSE),"")</f>
        <v>0.47</v>
      </c>
      <c r="M274">
        <f>IFERROR(VLOOKUP(BikeData[[#This Row],[Intents]],[1]!Table2[#Data],4,FALSE),"")</f>
        <v>0.41789999999999999</v>
      </c>
      <c r="N274">
        <f>IFERROR(VLOOKUP(BikeData[[#This Row],[Intents]],[1]!Table2[#Data],5,FALSE),"")</f>
        <v>1</v>
      </c>
      <c r="O274">
        <f>IFERROR(VLOOKUP(BikeData[[#This Row],[Intents]],[1]!Table2[#Data],6,FALSE),"")</f>
        <v>82</v>
      </c>
      <c r="P274">
        <f>IFERROR(VLOOKUP(BikeData[[#This Row],[Intents]],[1]!Table2[#Data],7,FALSE),"")</f>
        <v>83</v>
      </c>
      <c r="Q274" s="2" t="str">
        <f>CHOOSE(BikeData[[#This Row],[Season]],"Spring","Summer","Fall","Winter")</f>
        <v>Spring</v>
      </c>
      <c r="R274" s="2" t="str">
        <f>CHOOSE(BikeData[[#This Row],[Weathersituation]],"Clear","Mist","Light Rain","Heavy Rain")</f>
        <v>Clear</v>
      </c>
      <c r="S274" s="2" t="str">
        <f>TEXT(BikeData[[#This Row],[Date]],"mmm")</f>
        <v>Jan</v>
      </c>
    </row>
    <row r="275" spans="1:19" x14ac:dyDescent="0.3">
      <c r="A275">
        <v>274</v>
      </c>
      <c r="B275" s="5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 s="6">
        <f>BikeData[[#This Row],[Temperature]]</f>
        <v>0.16</v>
      </c>
      <c r="L275">
        <f>IFERROR(VLOOKUP(BikeData[[#This Row],[Intents]],[1]!Table2[#Data],3,FALSE),"")</f>
        <v>0.5</v>
      </c>
      <c r="M275">
        <f>IFERROR(VLOOKUP(BikeData[[#This Row],[Intents]],[1]!Table2[#Data],4,FALSE),"")</f>
        <v>0.32840000000000003</v>
      </c>
      <c r="N275">
        <f>IFERROR(VLOOKUP(BikeData[[#This Row],[Intents]],[1]!Table2[#Data],5,FALSE),"")</f>
        <v>2</v>
      </c>
      <c r="O275">
        <f>IFERROR(VLOOKUP(BikeData[[#This Row],[Intents]],[1]!Table2[#Data],6,FALSE),"")</f>
        <v>54</v>
      </c>
      <c r="P275">
        <f>IFERROR(VLOOKUP(BikeData[[#This Row],[Intents]],[1]!Table2[#Data],7,FALSE),"")</f>
        <v>56</v>
      </c>
      <c r="Q275" s="2" t="str">
        <f>CHOOSE(BikeData[[#This Row],[Season]],"Spring","Summer","Fall","Winter")</f>
        <v>Spring</v>
      </c>
      <c r="R275" s="2" t="str">
        <f>CHOOSE(BikeData[[#This Row],[Weathersituation]],"Clear","Mist","Light Rain","Heavy Rain")</f>
        <v>Clear</v>
      </c>
      <c r="S275" s="2" t="str">
        <f>TEXT(BikeData[[#This Row],[Date]],"mmm")</f>
        <v>Jan</v>
      </c>
    </row>
    <row r="276" spans="1:19" x14ac:dyDescent="0.3">
      <c r="A276">
        <v>275</v>
      </c>
      <c r="B276" s="5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 s="6">
        <f>BikeData[[#This Row],[Temperature]]</f>
        <v>0.16</v>
      </c>
      <c r="L276">
        <f>IFERROR(VLOOKUP(BikeData[[#This Row],[Intents]],[1]!Table2[#Data],3,FALSE),"")</f>
        <v>0.55000000000000004</v>
      </c>
      <c r="M276">
        <f>IFERROR(VLOOKUP(BikeData[[#This Row],[Intents]],[1]!Table2[#Data],4,FALSE),"")</f>
        <v>0.32840000000000003</v>
      </c>
      <c r="N276">
        <f>IFERROR(VLOOKUP(BikeData[[#This Row],[Intents]],[1]!Table2[#Data],5,FALSE),"")</f>
        <v>0</v>
      </c>
      <c r="O276">
        <f>IFERROR(VLOOKUP(BikeData[[#This Row],[Intents]],[1]!Table2[#Data],6,FALSE),"")</f>
        <v>57</v>
      </c>
      <c r="P276">
        <f>IFERROR(VLOOKUP(BikeData[[#This Row],[Intents]],[1]!Table2[#Data],7,FALSE),"")</f>
        <v>57</v>
      </c>
      <c r="Q276" s="2" t="str">
        <f>CHOOSE(BikeData[[#This Row],[Season]],"Spring","Summer","Fall","Winter")</f>
        <v>Spring</v>
      </c>
      <c r="R276" s="2" t="str">
        <f>CHOOSE(BikeData[[#This Row],[Weathersituation]],"Clear","Mist","Light Rain","Heavy Rain")</f>
        <v>Clear</v>
      </c>
      <c r="S276" s="2" t="str">
        <f>TEXT(BikeData[[#This Row],[Date]],"mmm")</f>
        <v>Jan</v>
      </c>
    </row>
    <row r="277" spans="1:19" x14ac:dyDescent="0.3">
      <c r="A277">
        <v>276</v>
      </c>
      <c r="B277" s="5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 s="6">
        <f>BikeData[[#This Row],[Temperature]]</f>
        <v>0.16</v>
      </c>
      <c r="L277">
        <f>IFERROR(VLOOKUP(BikeData[[#This Row],[Intents]],[1]!Table2[#Data],3,FALSE),"")</f>
        <v>0.55000000000000004</v>
      </c>
      <c r="M277">
        <f>IFERROR(VLOOKUP(BikeData[[#This Row],[Intents]],[1]!Table2[#Data],4,FALSE),"")</f>
        <v>0.44779999999999998</v>
      </c>
      <c r="N277">
        <f>IFERROR(VLOOKUP(BikeData[[#This Row],[Intents]],[1]!Table2[#Data],5,FALSE),"")</f>
        <v>1</v>
      </c>
      <c r="O277">
        <f>IFERROR(VLOOKUP(BikeData[[#This Row],[Intents]],[1]!Table2[#Data],6,FALSE),"")</f>
        <v>32</v>
      </c>
      <c r="P277">
        <f>IFERROR(VLOOKUP(BikeData[[#This Row],[Intents]],[1]!Table2[#Data],7,FALSE),"")</f>
        <v>33</v>
      </c>
      <c r="Q277" s="2" t="str">
        <f>CHOOSE(BikeData[[#This Row],[Season]],"Spring","Summer","Fall","Winter")</f>
        <v>Spring</v>
      </c>
      <c r="R277" s="2" t="str">
        <f>CHOOSE(BikeData[[#This Row],[Weathersituation]],"Clear","Mist","Light Rain","Heavy Rain")</f>
        <v>Clear</v>
      </c>
      <c r="S277" s="2" t="str">
        <f>TEXT(BikeData[[#This Row],[Date]],"mmm")</f>
        <v>Jan</v>
      </c>
    </row>
    <row r="278" spans="1:19" x14ac:dyDescent="0.3">
      <c r="A278">
        <v>277</v>
      </c>
      <c r="B278" s="5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 s="6">
        <f>BikeData[[#This Row],[Temperature]]</f>
        <v>0.14000000000000001</v>
      </c>
      <c r="L278">
        <f>IFERROR(VLOOKUP(BikeData[[#This Row],[Intents]],[1]!Table2[#Data],3,FALSE),"")</f>
        <v>0.59</v>
      </c>
      <c r="M278">
        <f>IFERROR(VLOOKUP(BikeData[[#This Row],[Intents]],[1]!Table2[#Data],4,FALSE),"")</f>
        <v>0.41789999999999999</v>
      </c>
      <c r="N278">
        <f>IFERROR(VLOOKUP(BikeData[[#This Row],[Intents]],[1]!Table2[#Data],5,FALSE),"")</f>
        <v>1</v>
      </c>
      <c r="O278">
        <f>IFERROR(VLOOKUP(BikeData[[#This Row],[Intents]],[1]!Table2[#Data],6,FALSE),"")</f>
        <v>19</v>
      </c>
      <c r="P278">
        <f>IFERROR(VLOOKUP(BikeData[[#This Row],[Intents]],[1]!Table2[#Data],7,FALSE),"")</f>
        <v>20</v>
      </c>
      <c r="Q278" s="2" t="str">
        <f>CHOOSE(BikeData[[#This Row],[Season]],"Spring","Summer","Fall","Winter")</f>
        <v>Spring</v>
      </c>
      <c r="R278" s="2" t="str">
        <f>CHOOSE(BikeData[[#This Row],[Weathersituation]],"Clear","Mist","Light Rain","Heavy Rain")</f>
        <v>Clear</v>
      </c>
      <c r="S278" s="2" t="str">
        <f>TEXT(BikeData[[#This Row],[Date]],"mmm")</f>
        <v>Jan</v>
      </c>
    </row>
    <row r="279" spans="1:19" x14ac:dyDescent="0.3">
      <c r="A279">
        <v>278</v>
      </c>
      <c r="B279" s="5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 s="6">
        <f>BikeData[[#This Row],[Temperature]]</f>
        <v>0.14000000000000001</v>
      </c>
      <c r="L279">
        <f>IFERROR(VLOOKUP(BikeData[[#This Row],[Intents]],[1]!Table2[#Data],3,FALSE),"")</f>
        <v>0.59</v>
      </c>
      <c r="M279">
        <f>IFERROR(VLOOKUP(BikeData[[#This Row],[Intents]],[1]!Table2[#Data],4,FALSE),"")</f>
        <v>0.28360000000000002</v>
      </c>
      <c r="N279">
        <f>IFERROR(VLOOKUP(BikeData[[#This Row],[Intents]],[1]!Table2[#Data],5,FALSE),"")</f>
        <v>1</v>
      </c>
      <c r="O279">
        <f>IFERROR(VLOOKUP(BikeData[[#This Row],[Intents]],[1]!Table2[#Data],6,FALSE),"")</f>
        <v>6</v>
      </c>
      <c r="P279">
        <f>IFERROR(VLOOKUP(BikeData[[#This Row],[Intents]],[1]!Table2[#Data],7,FALSE),"")</f>
        <v>7</v>
      </c>
      <c r="Q279" s="2" t="str">
        <f>CHOOSE(BikeData[[#This Row],[Season]],"Spring","Summer","Fall","Winter")</f>
        <v>Spring</v>
      </c>
      <c r="R279" s="2" t="str">
        <f>CHOOSE(BikeData[[#This Row],[Weathersituation]],"Clear","Mist","Light Rain","Heavy Rain")</f>
        <v>Clear</v>
      </c>
      <c r="S279" s="2" t="str">
        <f>TEXT(BikeData[[#This Row],[Date]],"mmm")</f>
        <v>Jan</v>
      </c>
    </row>
    <row r="280" spans="1:19" x14ac:dyDescent="0.3">
      <c r="A280">
        <v>279</v>
      </c>
      <c r="B280" s="5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 s="6">
        <f>BikeData[[#This Row],[Temperature]]</f>
        <v>0.14000000000000001</v>
      </c>
      <c r="L280">
        <f>IFERROR(VLOOKUP(BikeData[[#This Row],[Intents]],[1]!Table2[#Data],3,FALSE),"")</f>
        <v>0.5</v>
      </c>
      <c r="M280">
        <f>IFERROR(VLOOKUP(BikeData[[#This Row],[Intents]],[1]!Table2[#Data],4,FALSE),"")</f>
        <v>0.28360000000000002</v>
      </c>
      <c r="N280">
        <f>IFERROR(VLOOKUP(BikeData[[#This Row],[Intents]],[1]!Table2[#Data],5,FALSE),"")</f>
        <v>0</v>
      </c>
      <c r="O280">
        <f>IFERROR(VLOOKUP(BikeData[[#This Row],[Intents]],[1]!Table2[#Data],6,FALSE),"")</f>
        <v>2</v>
      </c>
      <c r="P280">
        <f>IFERROR(VLOOKUP(BikeData[[#This Row],[Intents]],[1]!Table2[#Data],7,FALSE),"")</f>
        <v>2</v>
      </c>
      <c r="Q280" s="2" t="str">
        <f>CHOOSE(BikeData[[#This Row],[Season]],"Spring","Summer","Fall","Winter")</f>
        <v>Spring</v>
      </c>
      <c r="R280" s="2" t="str">
        <f>CHOOSE(BikeData[[#This Row],[Weathersituation]],"Clear","Mist","Light Rain","Heavy Rain")</f>
        <v>Clear</v>
      </c>
      <c r="S280" s="2" t="str">
        <f>TEXT(BikeData[[#This Row],[Date]],"mmm")</f>
        <v>Jan</v>
      </c>
    </row>
    <row r="281" spans="1:19" x14ac:dyDescent="0.3">
      <c r="A281">
        <v>280</v>
      </c>
      <c r="B281" s="5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 s="6">
        <f>BikeData[[#This Row],[Temperature]]</f>
        <v>0.14000000000000001</v>
      </c>
      <c r="L281">
        <f>IFERROR(VLOOKUP(BikeData[[#This Row],[Intents]],[1]!Table2[#Data],3,FALSE),"")</f>
        <v>0.5</v>
      </c>
      <c r="M281">
        <f>IFERROR(VLOOKUP(BikeData[[#This Row],[Intents]],[1]!Table2[#Data],4,FALSE),"")</f>
        <v>0.35820000000000002</v>
      </c>
      <c r="N281">
        <f>IFERROR(VLOOKUP(BikeData[[#This Row],[Intents]],[1]!Table2[#Data],5,FALSE),"")</f>
        <v>0</v>
      </c>
      <c r="O281">
        <f>IFERROR(VLOOKUP(BikeData[[#This Row],[Intents]],[1]!Table2[#Data],6,FALSE),"")</f>
        <v>2</v>
      </c>
      <c r="P281">
        <f>IFERROR(VLOOKUP(BikeData[[#This Row],[Intents]],[1]!Table2[#Data],7,FALSE),"")</f>
        <v>2</v>
      </c>
      <c r="Q281" s="2" t="str">
        <f>CHOOSE(BikeData[[#This Row],[Season]],"Spring","Summer","Fall","Winter")</f>
        <v>Spring</v>
      </c>
      <c r="R281" s="2" t="str">
        <f>CHOOSE(BikeData[[#This Row],[Weathersituation]],"Clear","Mist","Light Rain","Heavy Rain")</f>
        <v>Clear</v>
      </c>
      <c r="S281" s="2" t="str">
        <f>TEXT(BikeData[[#This Row],[Date]],"mmm")</f>
        <v>Jan</v>
      </c>
    </row>
    <row r="282" spans="1:19" x14ac:dyDescent="0.3">
      <c r="A282">
        <v>281</v>
      </c>
      <c r="B282" s="5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 s="6">
        <f>BikeData[[#This Row],[Temperature]]</f>
        <v>0.14000000000000001</v>
      </c>
      <c r="L282">
        <f>IFERROR(VLOOKUP(BikeData[[#This Row],[Intents]],[1]!Table2[#Data],3,FALSE),"")</f>
        <v>0.5</v>
      </c>
      <c r="M282">
        <f>IFERROR(VLOOKUP(BikeData[[#This Row],[Intents]],[1]!Table2[#Data],4,FALSE),"")</f>
        <v>0.32840000000000003</v>
      </c>
      <c r="N282">
        <f>IFERROR(VLOOKUP(BikeData[[#This Row],[Intents]],[1]!Table2[#Data],5,FALSE),"")</f>
        <v>0</v>
      </c>
      <c r="O282">
        <f>IFERROR(VLOOKUP(BikeData[[#This Row],[Intents]],[1]!Table2[#Data],6,FALSE),"")</f>
        <v>3</v>
      </c>
      <c r="P282">
        <f>IFERROR(VLOOKUP(BikeData[[#This Row],[Intents]],[1]!Table2[#Data],7,FALSE),"")</f>
        <v>3</v>
      </c>
      <c r="Q282" s="2" t="str">
        <f>CHOOSE(BikeData[[#This Row],[Season]],"Spring","Summer","Fall","Winter")</f>
        <v>Spring</v>
      </c>
      <c r="R282" s="2" t="str">
        <f>CHOOSE(BikeData[[#This Row],[Weathersituation]],"Clear","Mist","Light Rain","Heavy Rain")</f>
        <v>Clear</v>
      </c>
      <c r="S282" s="2" t="str">
        <f>TEXT(BikeData[[#This Row],[Date]],"mmm")</f>
        <v>Jan</v>
      </c>
    </row>
    <row r="283" spans="1:19" x14ac:dyDescent="0.3">
      <c r="A283">
        <v>282</v>
      </c>
      <c r="B283" s="5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 s="6">
        <f>BikeData[[#This Row],[Temperature]]</f>
        <v>0.14000000000000001</v>
      </c>
      <c r="L283">
        <f>IFERROR(VLOOKUP(BikeData[[#This Row],[Intents]],[1]!Table2[#Data],3,FALSE),"")</f>
        <v>0.5</v>
      </c>
      <c r="M283">
        <f>IFERROR(VLOOKUP(BikeData[[#This Row],[Intents]],[1]!Table2[#Data],4,FALSE),"")</f>
        <v>0.25369999999999998</v>
      </c>
      <c r="N283">
        <f>IFERROR(VLOOKUP(BikeData[[#This Row],[Intents]],[1]!Table2[#Data],5,FALSE),"")</f>
        <v>0</v>
      </c>
      <c r="O283">
        <f>IFERROR(VLOOKUP(BikeData[[#This Row],[Intents]],[1]!Table2[#Data],6,FALSE),"")</f>
        <v>4</v>
      </c>
      <c r="P283">
        <f>IFERROR(VLOOKUP(BikeData[[#This Row],[Intents]],[1]!Table2[#Data],7,FALSE),"")</f>
        <v>4</v>
      </c>
      <c r="Q283" s="2" t="str">
        <f>CHOOSE(BikeData[[#This Row],[Season]],"Spring","Summer","Fall","Winter")</f>
        <v>Spring</v>
      </c>
      <c r="R283" s="2" t="str">
        <f>CHOOSE(BikeData[[#This Row],[Weathersituation]],"Clear","Mist","Light Rain","Heavy Rain")</f>
        <v>Clear</v>
      </c>
      <c r="S283" s="2" t="str">
        <f>TEXT(BikeData[[#This Row],[Date]],"mmm")</f>
        <v>Jan</v>
      </c>
    </row>
    <row r="284" spans="1:19" x14ac:dyDescent="0.3">
      <c r="A284">
        <v>283</v>
      </c>
      <c r="B284" s="5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 s="6">
        <f>BikeData[[#This Row],[Temperature]]</f>
        <v>0.14000000000000001</v>
      </c>
      <c r="L284">
        <f>IFERROR(VLOOKUP(BikeData[[#This Row],[Intents]],[1]!Table2[#Data],3,FALSE),"")</f>
        <v>0.5</v>
      </c>
      <c r="M284">
        <f>IFERROR(VLOOKUP(BikeData[[#This Row],[Intents]],[1]!Table2[#Data],4,FALSE),"")</f>
        <v>0.29849999999999999</v>
      </c>
      <c r="N284">
        <f>IFERROR(VLOOKUP(BikeData[[#This Row],[Intents]],[1]!Table2[#Data],5,FALSE),"")</f>
        <v>0</v>
      </c>
      <c r="O284">
        <f>IFERROR(VLOOKUP(BikeData[[#This Row],[Intents]],[1]!Table2[#Data],6,FALSE),"")</f>
        <v>3</v>
      </c>
      <c r="P284">
        <f>IFERROR(VLOOKUP(BikeData[[#This Row],[Intents]],[1]!Table2[#Data],7,FALSE),"")</f>
        <v>3</v>
      </c>
      <c r="Q284" s="2" t="str">
        <f>CHOOSE(BikeData[[#This Row],[Season]],"Spring","Summer","Fall","Winter")</f>
        <v>Spring</v>
      </c>
      <c r="R284" s="2" t="str">
        <f>CHOOSE(BikeData[[#This Row],[Weathersituation]],"Clear","Mist","Light Rain","Heavy Rain")</f>
        <v>Clear</v>
      </c>
      <c r="S284" s="2" t="str">
        <f>TEXT(BikeData[[#This Row],[Date]],"mmm")</f>
        <v>Jan</v>
      </c>
    </row>
    <row r="285" spans="1:19" x14ac:dyDescent="0.3">
      <c r="A285">
        <v>284</v>
      </c>
      <c r="B285" s="5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 s="6">
        <f>BikeData[[#This Row],[Temperature]]</f>
        <v>0.12</v>
      </c>
      <c r="L285">
        <f>IFERROR(VLOOKUP(BikeData[[#This Row],[Intents]],[1]!Table2[#Data],3,FALSE),"")</f>
        <v>0.54</v>
      </c>
      <c r="M285">
        <f>IFERROR(VLOOKUP(BikeData[[#This Row],[Intents]],[1]!Table2[#Data],4,FALSE),"")</f>
        <v>0.1343</v>
      </c>
      <c r="N285">
        <f>IFERROR(VLOOKUP(BikeData[[#This Row],[Intents]],[1]!Table2[#Data],5,FALSE),"")</f>
        <v>0</v>
      </c>
      <c r="O285">
        <f>IFERROR(VLOOKUP(BikeData[[#This Row],[Intents]],[1]!Table2[#Data],6,FALSE),"")</f>
        <v>28</v>
      </c>
      <c r="P285">
        <f>IFERROR(VLOOKUP(BikeData[[#This Row],[Intents]],[1]!Table2[#Data],7,FALSE),"")</f>
        <v>28</v>
      </c>
      <c r="Q285" s="2" t="str">
        <f>CHOOSE(BikeData[[#This Row],[Season]],"Spring","Summer","Fall","Winter")</f>
        <v>Spring</v>
      </c>
      <c r="R285" s="2" t="str">
        <f>CHOOSE(BikeData[[#This Row],[Weathersituation]],"Clear","Mist","Light Rain","Heavy Rain")</f>
        <v>Clear</v>
      </c>
      <c r="S285" s="2" t="str">
        <f>TEXT(BikeData[[#This Row],[Date]],"mmm")</f>
        <v>Jan</v>
      </c>
    </row>
    <row r="286" spans="1:19" x14ac:dyDescent="0.3">
      <c r="A286">
        <v>285</v>
      </c>
      <c r="B286" s="5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 s="6">
        <f>BikeData[[#This Row],[Temperature]]</f>
        <v>0.12</v>
      </c>
      <c r="L286">
        <f>IFERROR(VLOOKUP(BikeData[[#This Row],[Intents]],[1]!Table2[#Data],3,FALSE),"")</f>
        <v>0.54</v>
      </c>
      <c r="M286">
        <f>IFERROR(VLOOKUP(BikeData[[#This Row],[Intents]],[1]!Table2[#Data],4,FALSE),"")</f>
        <v>0.1343</v>
      </c>
      <c r="N286">
        <f>IFERROR(VLOOKUP(BikeData[[#This Row],[Intents]],[1]!Table2[#Data],5,FALSE),"")</f>
        <v>0</v>
      </c>
      <c r="O286">
        <f>IFERROR(VLOOKUP(BikeData[[#This Row],[Intents]],[1]!Table2[#Data],6,FALSE),"")</f>
        <v>72</v>
      </c>
      <c r="P286">
        <f>IFERROR(VLOOKUP(BikeData[[#This Row],[Intents]],[1]!Table2[#Data],7,FALSE),"")</f>
        <v>72</v>
      </c>
      <c r="Q286" s="2" t="str">
        <f>CHOOSE(BikeData[[#This Row],[Season]],"Spring","Summer","Fall","Winter")</f>
        <v>Spring</v>
      </c>
      <c r="R286" s="2" t="str">
        <f>CHOOSE(BikeData[[#This Row],[Weathersituation]],"Clear","Mist","Light Rain","Heavy Rain")</f>
        <v>Clear</v>
      </c>
      <c r="S286" s="2" t="str">
        <f>TEXT(BikeData[[#This Row],[Date]],"mmm")</f>
        <v>Jan</v>
      </c>
    </row>
    <row r="287" spans="1:19" x14ac:dyDescent="0.3">
      <c r="A287">
        <v>286</v>
      </c>
      <c r="B287" s="5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 s="6">
        <f>BikeData[[#This Row],[Temperature]]</f>
        <v>0.14000000000000001</v>
      </c>
      <c r="L287">
        <f>IFERROR(VLOOKUP(BikeData[[#This Row],[Intents]],[1]!Table2[#Data],3,FALSE),"")</f>
        <v>0.5</v>
      </c>
      <c r="M287">
        <f>IFERROR(VLOOKUP(BikeData[[#This Row],[Intents]],[1]!Table2[#Data],4,FALSE),"")</f>
        <v>0.19400000000000001</v>
      </c>
      <c r="N287">
        <f>IFERROR(VLOOKUP(BikeData[[#This Row],[Intents]],[1]!Table2[#Data],5,FALSE),"")</f>
        <v>5</v>
      </c>
      <c r="O287">
        <f>IFERROR(VLOOKUP(BikeData[[#This Row],[Intents]],[1]!Table2[#Data],6,FALSE),"")</f>
        <v>197</v>
      </c>
      <c r="P287">
        <f>IFERROR(VLOOKUP(BikeData[[#This Row],[Intents]],[1]!Table2[#Data],7,FALSE),"")</f>
        <v>202</v>
      </c>
      <c r="Q287" s="2" t="str">
        <f>CHOOSE(BikeData[[#This Row],[Season]],"Spring","Summer","Fall","Winter")</f>
        <v>Spring</v>
      </c>
      <c r="R287" s="2" t="str">
        <f>CHOOSE(BikeData[[#This Row],[Weathersituation]],"Clear","Mist","Light Rain","Heavy Rain")</f>
        <v>Clear</v>
      </c>
      <c r="S287" s="2" t="str">
        <f>TEXT(BikeData[[#This Row],[Date]],"mmm")</f>
        <v>Jan</v>
      </c>
    </row>
    <row r="288" spans="1:19" x14ac:dyDescent="0.3">
      <c r="A288">
        <v>287</v>
      </c>
      <c r="B288" s="5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 s="6">
        <f>BikeData[[#This Row],[Temperature]]</f>
        <v>0.14000000000000001</v>
      </c>
      <c r="L288">
        <f>IFERROR(VLOOKUP(BikeData[[#This Row],[Intents]],[1]!Table2[#Data],3,FALSE),"")</f>
        <v>0.5</v>
      </c>
      <c r="M288">
        <f>IFERROR(VLOOKUP(BikeData[[#This Row],[Intents]],[1]!Table2[#Data],4,FALSE),"")</f>
        <v>0.32840000000000003</v>
      </c>
      <c r="N288">
        <f>IFERROR(VLOOKUP(BikeData[[#This Row],[Intents]],[1]!Table2[#Data],5,FALSE),"")</f>
        <v>2</v>
      </c>
      <c r="O288">
        <f>IFERROR(VLOOKUP(BikeData[[#This Row],[Intents]],[1]!Table2[#Data],6,FALSE),"")</f>
        <v>137</v>
      </c>
      <c r="P288">
        <f>IFERROR(VLOOKUP(BikeData[[#This Row],[Intents]],[1]!Table2[#Data],7,FALSE),"")</f>
        <v>139</v>
      </c>
      <c r="Q288" s="2" t="str">
        <f>CHOOSE(BikeData[[#This Row],[Season]],"Spring","Summer","Fall","Winter")</f>
        <v>Spring</v>
      </c>
      <c r="R288" s="2" t="str">
        <f>CHOOSE(BikeData[[#This Row],[Weathersituation]],"Clear","Mist","Light Rain","Heavy Rain")</f>
        <v>Clear</v>
      </c>
      <c r="S288" s="2" t="str">
        <f>TEXT(BikeData[[#This Row],[Date]],"mmm")</f>
        <v>Jan</v>
      </c>
    </row>
    <row r="289" spans="1:19" x14ac:dyDescent="0.3">
      <c r="A289">
        <v>288</v>
      </c>
      <c r="B289" s="5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 s="6">
        <f>BikeData[[#This Row],[Temperature]]</f>
        <v>0.16</v>
      </c>
      <c r="L289">
        <f>IFERROR(VLOOKUP(BikeData[[#This Row],[Intents]],[1]!Table2[#Data],3,FALSE),"")</f>
        <v>0.5</v>
      </c>
      <c r="M289">
        <f>IFERROR(VLOOKUP(BikeData[[#This Row],[Intents]],[1]!Table2[#Data],4,FALSE),"")</f>
        <v>0.35820000000000002</v>
      </c>
      <c r="N289">
        <f>IFERROR(VLOOKUP(BikeData[[#This Row],[Intents]],[1]!Table2[#Data],5,FALSE),"")</f>
        <v>2</v>
      </c>
      <c r="O289">
        <f>IFERROR(VLOOKUP(BikeData[[#This Row],[Intents]],[1]!Table2[#Data],6,FALSE),"")</f>
        <v>36</v>
      </c>
      <c r="P289">
        <f>IFERROR(VLOOKUP(BikeData[[#This Row],[Intents]],[1]!Table2[#Data],7,FALSE),"")</f>
        <v>38</v>
      </c>
      <c r="Q289" s="2" t="str">
        <f>CHOOSE(BikeData[[#This Row],[Season]],"Spring","Summer","Fall","Winter")</f>
        <v>Spring</v>
      </c>
      <c r="R289" s="2" t="str">
        <f>CHOOSE(BikeData[[#This Row],[Weathersituation]],"Clear","Mist","Light Rain","Heavy Rain")</f>
        <v>Mist</v>
      </c>
      <c r="S289" s="2" t="str">
        <f>TEXT(BikeData[[#This Row],[Date]],"mmm")</f>
        <v>Jan</v>
      </c>
    </row>
    <row r="290" spans="1:19" x14ac:dyDescent="0.3">
      <c r="A290">
        <v>289</v>
      </c>
      <c r="B290" s="5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 s="6">
        <f>BikeData[[#This Row],[Temperature]]</f>
        <v>0.2</v>
      </c>
      <c r="L290">
        <f>IFERROR(VLOOKUP(BikeData[[#This Row],[Intents]],[1]!Table2[#Data],3,FALSE),"")</f>
        <v>0.44</v>
      </c>
      <c r="M290">
        <f>IFERROR(VLOOKUP(BikeData[[#This Row],[Intents]],[1]!Table2[#Data],4,FALSE),"")</f>
        <v>0.44779999999999998</v>
      </c>
      <c r="N290">
        <f>IFERROR(VLOOKUP(BikeData[[#This Row],[Intents]],[1]!Table2[#Data],5,FALSE),"")</f>
        <v>4</v>
      </c>
      <c r="O290">
        <f>IFERROR(VLOOKUP(BikeData[[#This Row],[Intents]],[1]!Table2[#Data],6,FALSE),"")</f>
        <v>33</v>
      </c>
      <c r="P290">
        <f>IFERROR(VLOOKUP(BikeData[[#This Row],[Intents]],[1]!Table2[#Data],7,FALSE),"")</f>
        <v>37</v>
      </c>
      <c r="Q290" s="2" t="str">
        <f>CHOOSE(BikeData[[#This Row],[Season]],"Spring","Summer","Fall","Winter")</f>
        <v>Spring</v>
      </c>
      <c r="R290" s="2" t="str">
        <f>CHOOSE(BikeData[[#This Row],[Weathersituation]],"Clear","Mist","Light Rain","Heavy Rain")</f>
        <v>Mist</v>
      </c>
      <c r="S290" s="2" t="str">
        <f>TEXT(BikeData[[#This Row],[Date]],"mmm")</f>
        <v>Jan</v>
      </c>
    </row>
    <row r="291" spans="1:19" x14ac:dyDescent="0.3">
      <c r="A291">
        <v>290</v>
      </c>
      <c r="B291" s="5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 s="6">
        <f>BikeData[[#This Row],[Temperature]]</f>
        <v>0.2</v>
      </c>
      <c r="L291">
        <f>IFERROR(VLOOKUP(BikeData[[#This Row],[Intents]],[1]!Table2[#Data],3,FALSE),"")</f>
        <v>0.44</v>
      </c>
      <c r="M291">
        <f>IFERROR(VLOOKUP(BikeData[[#This Row],[Intents]],[1]!Table2[#Data],4,FALSE),"")</f>
        <v>0.41789999999999999</v>
      </c>
      <c r="N291">
        <f>IFERROR(VLOOKUP(BikeData[[#This Row],[Intents]],[1]!Table2[#Data],5,FALSE),"")</f>
        <v>3</v>
      </c>
      <c r="O291">
        <f>IFERROR(VLOOKUP(BikeData[[#This Row],[Intents]],[1]!Table2[#Data],6,FALSE),"")</f>
        <v>49</v>
      </c>
      <c r="P291">
        <f>IFERROR(VLOOKUP(BikeData[[#This Row],[Intents]],[1]!Table2[#Data],7,FALSE),"")</f>
        <v>52</v>
      </c>
      <c r="Q291" s="2" t="str">
        <f>CHOOSE(BikeData[[#This Row],[Season]],"Spring","Summer","Fall","Winter")</f>
        <v>Spring</v>
      </c>
      <c r="R291" s="2" t="str">
        <f>CHOOSE(BikeData[[#This Row],[Weathersituation]],"Clear","Mist","Light Rain","Heavy Rain")</f>
        <v>Clear</v>
      </c>
      <c r="S291" s="2" t="str">
        <f>TEXT(BikeData[[#This Row],[Date]],"mmm")</f>
        <v>Jan</v>
      </c>
    </row>
    <row r="292" spans="1:19" x14ac:dyDescent="0.3">
      <c r="A292">
        <v>291</v>
      </c>
      <c r="B292" s="5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 s="6">
        <f>BikeData[[#This Row],[Temperature]]</f>
        <v>0.22</v>
      </c>
      <c r="L292">
        <f>IFERROR(VLOOKUP(BikeData[[#This Row],[Intents]],[1]!Table2[#Data],3,FALSE),"")</f>
        <v>0.41</v>
      </c>
      <c r="M292">
        <f>IFERROR(VLOOKUP(BikeData[[#This Row],[Intents]],[1]!Table2[#Data],4,FALSE),"")</f>
        <v>0.44779999999999998</v>
      </c>
      <c r="N292">
        <f>IFERROR(VLOOKUP(BikeData[[#This Row],[Intents]],[1]!Table2[#Data],5,FALSE),"")</f>
        <v>2</v>
      </c>
      <c r="O292">
        <f>IFERROR(VLOOKUP(BikeData[[#This Row],[Intents]],[1]!Table2[#Data],6,FALSE),"")</f>
        <v>81</v>
      </c>
      <c r="P292">
        <f>IFERROR(VLOOKUP(BikeData[[#This Row],[Intents]],[1]!Table2[#Data],7,FALSE),"")</f>
        <v>83</v>
      </c>
      <c r="Q292" s="2" t="str">
        <f>CHOOSE(BikeData[[#This Row],[Season]],"Spring","Summer","Fall","Winter")</f>
        <v>Spring</v>
      </c>
      <c r="R292" s="2" t="str">
        <f>CHOOSE(BikeData[[#This Row],[Weathersituation]],"Clear","Mist","Light Rain","Heavy Rain")</f>
        <v>Clear</v>
      </c>
      <c r="S292" s="2" t="str">
        <f>TEXT(BikeData[[#This Row],[Date]],"mmm")</f>
        <v>Jan</v>
      </c>
    </row>
    <row r="293" spans="1:19" x14ac:dyDescent="0.3">
      <c r="A293">
        <v>292</v>
      </c>
      <c r="B293" s="5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 s="6">
        <f>BikeData[[#This Row],[Temperature]]</f>
        <v>0.22</v>
      </c>
      <c r="L293">
        <f>IFERROR(VLOOKUP(BikeData[[#This Row],[Intents]],[1]!Table2[#Data],3,FALSE),"")</f>
        <v>0.41</v>
      </c>
      <c r="M293">
        <f>IFERROR(VLOOKUP(BikeData[[#This Row],[Intents]],[1]!Table2[#Data],4,FALSE),"")</f>
        <v>0.3881</v>
      </c>
      <c r="N293">
        <f>IFERROR(VLOOKUP(BikeData[[#This Row],[Intents]],[1]!Table2[#Data],5,FALSE),"")</f>
        <v>3</v>
      </c>
      <c r="O293">
        <f>IFERROR(VLOOKUP(BikeData[[#This Row],[Intents]],[1]!Table2[#Data],6,FALSE),"")</f>
        <v>39</v>
      </c>
      <c r="P293">
        <f>IFERROR(VLOOKUP(BikeData[[#This Row],[Intents]],[1]!Table2[#Data],7,FALSE),"")</f>
        <v>42</v>
      </c>
      <c r="Q293" s="2" t="str">
        <f>CHOOSE(BikeData[[#This Row],[Season]],"Spring","Summer","Fall","Winter")</f>
        <v>Spring</v>
      </c>
      <c r="R293" s="2" t="str">
        <f>CHOOSE(BikeData[[#This Row],[Weathersituation]],"Clear","Mist","Light Rain","Heavy Rain")</f>
        <v>Clear</v>
      </c>
      <c r="S293" s="2" t="str">
        <f>TEXT(BikeData[[#This Row],[Date]],"mmm")</f>
        <v>Jan</v>
      </c>
    </row>
    <row r="294" spans="1:19" x14ac:dyDescent="0.3">
      <c r="A294">
        <v>293</v>
      </c>
      <c r="B294" s="5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 s="6">
        <f>BikeData[[#This Row],[Temperature]]</f>
        <v>0.24</v>
      </c>
      <c r="L294">
        <f>IFERROR(VLOOKUP(BikeData[[#This Row],[Intents]],[1]!Table2[#Data],3,FALSE),"")</f>
        <v>0.38</v>
      </c>
      <c r="M294">
        <f>IFERROR(VLOOKUP(BikeData[[#This Row],[Intents]],[1]!Table2[#Data],4,FALSE),"")</f>
        <v>0.29849999999999999</v>
      </c>
      <c r="N294">
        <f>IFERROR(VLOOKUP(BikeData[[#This Row],[Intents]],[1]!Table2[#Data],5,FALSE),"")</f>
        <v>5</v>
      </c>
      <c r="O294">
        <f>IFERROR(VLOOKUP(BikeData[[#This Row],[Intents]],[1]!Table2[#Data],6,FALSE),"")</f>
        <v>55</v>
      </c>
      <c r="P294">
        <f>IFERROR(VLOOKUP(BikeData[[#This Row],[Intents]],[1]!Table2[#Data],7,FALSE),"")</f>
        <v>60</v>
      </c>
      <c r="Q294" s="2" t="str">
        <f>CHOOSE(BikeData[[#This Row],[Season]],"Spring","Summer","Fall","Winter")</f>
        <v>Spring</v>
      </c>
      <c r="R294" s="2" t="str">
        <f>CHOOSE(BikeData[[#This Row],[Weathersituation]],"Clear","Mist","Light Rain","Heavy Rain")</f>
        <v>Clear</v>
      </c>
      <c r="S294" s="2" t="str">
        <f>TEXT(BikeData[[#This Row],[Date]],"mmm")</f>
        <v>Jan</v>
      </c>
    </row>
    <row r="295" spans="1:19" x14ac:dyDescent="0.3">
      <c r="A295">
        <v>294</v>
      </c>
      <c r="B295" s="5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 s="6">
        <f>BikeData[[#This Row],[Temperature]]</f>
        <v>0.24</v>
      </c>
      <c r="L295">
        <f>IFERROR(VLOOKUP(BikeData[[#This Row],[Intents]],[1]!Table2[#Data],3,FALSE),"")</f>
        <v>0.38</v>
      </c>
      <c r="M295">
        <f>IFERROR(VLOOKUP(BikeData[[#This Row],[Intents]],[1]!Table2[#Data],4,FALSE),"")</f>
        <v>0.35820000000000002</v>
      </c>
      <c r="N295">
        <f>IFERROR(VLOOKUP(BikeData[[#This Row],[Intents]],[1]!Table2[#Data],5,FALSE),"")</f>
        <v>2</v>
      </c>
      <c r="O295">
        <f>IFERROR(VLOOKUP(BikeData[[#This Row],[Intents]],[1]!Table2[#Data],6,FALSE),"")</f>
        <v>76</v>
      </c>
      <c r="P295">
        <f>IFERROR(VLOOKUP(BikeData[[#This Row],[Intents]],[1]!Table2[#Data],7,FALSE),"")</f>
        <v>78</v>
      </c>
      <c r="Q295" s="2" t="str">
        <f>CHOOSE(BikeData[[#This Row],[Season]],"Spring","Summer","Fall","Winter")</f>
        <v>Spring</v>
      </c>
      <c r="R295" s="2" t="str">
        <f>CHOOSE(BikeData[[#This Row],[Weathersituation]],"Clear","Mist","Light Rain","Heavy Rain")</f>
        <v>Clear</v>
      </c>
      <c r="S295" s="2" t="str">
        <f>TEXT(BikeData[[#This Row],[Date]],"mmm")</f>
        <v>Jan</v>
      </c>
    </row>
    <row r="296" spans="1:19" x14ac:dyDescent="0.3">
      <c r="A296">
        <v>295</v>
      </c>
      <c r="B296" s="5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 s="6">
        <f>BikeData[[#This Row],[Temperature]]</f>
        <v>0.2</v>
      </c>
      <c r="L296">
        <f>IFERROR(VLOOKUP(BikeData[[#This Row],[Intents]],[1]!Table2[#Data],3,FALSE),"")</f>
        <v>0.4</v>
      </c>
      <c r="M296">
        <f>IFERROR(VLOOKUP(BikeData[[#This Row],[Intents]],[1]!Table2[#Data],4,FALSE),"")</f>
        <v>0.28360000000000002</v>
      </c>
      <c r="N296">
        <f>IFERROR(VLOOKUP(BikeData[[#This Row],[Intents]],[1]!Table2[#Data],5,FALSE),"")</f>
        <v>4</v>
      </c>
      <c r="O296">
        <f>IFERROR(VLOOKUP(BikeData[[#This Row],[Intents]],[1]!Table2[#Data],6,FALSE),"")</f>
        <v>158</v>
      </c>
      <c r="P296">
        <f>IFERROR(VLOOKUP(BikeData[[#This Row],[Intents]],[1]!Table2[#Data],7,FALSE),"")</f>
        <v>162</v>
      </c>
      <c r="Q296" s="2" t="str">
        <f>CHOOSE(BikeData[[#This Row],[Season]],"Spring","Summer","Fall","Winter")</f>
        <v>Spring</v>
      </c>
      <c r="R296" s="2" t="str">
        <f>CHOOSE(BikeData[[#This Row],[Weathersituation]],"Clear","Mist","Light Rain","Heavy Rain")</f>
        <v>Clear</v>
      </c>
      <c r="S296" s="2" t="str">
        <f>TEXT(BikeData[[#This Row],[Date]],"mmm")</f>
        <v>Jan</v>
      </c>
    </row>
    <row r="297" spans="1:19" x14ac:dyDescent="0.3">
      <c r="A297">
        <v>296</v>
      </c>
      <c r="B297" s="5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 s="6">
        <f>BikeData[[#This Row],[Temperature]]</f>
        <v>0.2</v>
      </c>
      <c r="L297">
        <f>IFERROR(VLOOKUP(BikeData[[#This Row],[Intents]],[1]!Table2[#Data],3,FALSE),"")</f>
        <v>0.4</v>
      </c>
      <c r="M297">
        <f>IFERROR(VLOOKUP(BikeData[[#This Row],[Intents]],[1]!Table2[#Data],4,FALSE),"")</f>
        <v>0.32840000000000003</v>
      </c>
      <c r="N297">
        <f>IFERROR(VLOOKUP(BikeData[[#This Row],[Intents]],[1]!Table2[#Data],5,FALSE),"")</f>
        <v>3</v>
      </c>
      <c r="O297">
        <f>IFERROR(VLOOKUP(BikeData[[#This Row],[Intents]],[1]!Table2[#Data],6,FALSE),"")</f>
        <v>141</v>
      </c>
      <c r="P297">
        <f>IFERROR(VLOOKUP(BikeData[[#This Row],[Intents]],[1]!Table2[#Data],7,FALSE),"")</f>
        <v>144</v>
      </c>
      <c r="Q297" s="2" t="str">
        <f>CHOOSE(BikeData[[#This Row],[Season]],"Spring","Summer","Fall","Winter")</f>
        <v>Spring</v>
      </c>
      <c r="R297" s="2" t="str">
        <f>CHOOSE(BikeData[[#This Row],[Weathersituation]],"Clear","Mist","Light Rain","Heavy Rain")</f>
        <v>Clear</v>
      </c>
      <c r="S297" s="2" t="str">
        <f>TEXT(BikeData[[#This Row],[Date]],"mmm")</f>
        <v>Jan</v>
      </c>
    </row>
    <row r="298" spans="1:19" x14ac:dyDescent="0.3">
      <c r="A298">
        <v>297</v>
      </c>
      <c r="B298" s="5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 s="6">
        <f>BikeData[[#This Row],[Temperature]]</f>
        <v>0.16</v>
      </c>
      <c r="L298">
        <f>IFERROR(VLOOKUP(BikeData[[#This Row],[Intents]],[1]!Table2[#Data],3,FALSE),"")</f>
        <v>0.47</v>
      </c>
      <c r="M298">
        <f>IFERROR(VLOOKUP(BikeData[[#This Row],[Intents]],[1]!Table2[#Data],4,FALSE),"")</f>
        <v>0.25369999999999998</v>
      </c>
      <c r="N298">
        <f>IFERROR(VLOOKUP(BikeData[[#This Row],[Intents]],[1]!Table2[#Data],5,FALSE),"")</f>
        <v>1</v>
      </c>
      <c r="O298">
        <f>IFERROR(VLOOKUP(BikeData[[#This Row],[Intents]],[1]!Table2[#Data],6,FALSE),"")</f>
        <v>98</v>
      </c>
      <c r="P298">
        <f>IFERROR(VLOOKUP(BikeData[[#This Row],[Intents]],[1]!Table2[#Data],7,FALSE),"")</f>
        <v>99</v>
      </c>
      <c r="Q298" s="2" t="str">
        <f>CHOOSE(BikeData[[#This Row],[Season]],"Spring","Summer","Fall","Winter")</f>
        <v>Spring</v>
      </c>
      <c r="R298" s="2" t="str">
        <f>CHOOSE(BikeData[[#This Row],[Weathersituation]],"Clear","Mist","Light Rain","Heavy Rain")</f>
        <v>Clear</v>
      </c>
      <c r="S298" s="2" t="str">
        <f>TEXT(BikeData[[#This Row],[Date]],"mmm")</f>
        <v>Jan</v>
      </c>
    </row>
    <row r="299" spans="1:19" x14ac:dyDescent="0.3">
      <c r="A299">
        <v>298</v>
      </c>
      <c r="B299" s="5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 s="6">
        <f>BikeData[[#This Row],[Temperature]]</f>
        <v>0.16</v>
      </c>
      <c r="L299">
        <f>IFERROR(VLOOKUP(BikeData[[#This Row],[Intents]],[1]!Table2[#Data],3,FALSE),"")</f>
        <v>0.47</v>
      </c>
      <c r="M299">
        <f>IFERROR(VLOOKUP(BikeData[[#This Row],[Intents]],[1]!Table2[#Data],4,FALSE),"")</f>
        <v>0.22389999999999999</v>
      </c>
      <c r="N299">
        <f>IFERROR(VLOOKUP(BikeData[[#This Row],[Intents]],[1]!Table2[#Data],5,FALSE),"")</f>
        <v>0</v>
      </c>
      <c r="O299">
        <f>IFERROR(VLOOKUP(BikeData[[#This Row],[Intents]],[1]!Table2[#Data],6,FALSE),"")</f>
        <v>64</v>
      </c>
      <c r="P299">
        <f>IFERROR(VLOOKUP(BikeData[[#This Row],[Intents]],[1]!Table2[#Data],7,FALSE),"")</f>
        <v>64</v>
      </c>
      <c r="Q299" s="2" t="str">
        <f>CHOOSE(BikeData[[#This Row],[Season]],"Spring","Summer","Fall","Winter")</f>
        <v>Spring</v>
      </c>
      <c r="R299" s="2" t="str">
        <f>CHOOSE(BikeData[[#This Row],[Weathersituation]],"Clear","Mist","Light Rain","Heavy Rain")</f>
        <v>Clear</v>
      </c>
      <c r="S299" s="2" t="str">
        <f>TEXT(BikeData[[#This Row],[Date]],"mmm")</f>
        <v>Jan</v>
      </c>
    </row>
    <row r="300" spans="1:19" x14ac:dyDescent="0.3">
      <c r="A300">
        <v>299</v>
      </c>
      <c r="B300" s="5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 s="6">
        <f>BikeData[[#This Row],[Temperature]]</f>
        <v>0.14000000000000001</v>
      </c>
      <c r="L300">
        <f>IFERROR(VLOOKUP(BikeData[[#This Row],[Intents]],[1]!Table2[#Data],3,FALSE),"")</f>
        <v>0.46</v>
      </c>
      <c r="M300">
        <f>IFERROR(VLOOKUP(BikeData[[#This Row],[Intents]],[1]!Table2[#Data],4,FALSE),"")</f>
        <v>0.29849999999999999</v>
      </c>
      <c r="N300">
        <f>IFERROR(VLOOKUP(BikeData[[#This Row],[Intents]],[1]!Table2[#Data],5,FALSE),"")</f>
        <v>0</v>
      </c>
      <c r="O300">
        <f>IFERROR(VLOOKUP(BikeData[[#This Row],[Intents]],[1]!Table2[#Data],6,FALSE),"")</f>
        <v>40</v>
      </c>
      <c r="P300">
        <f>IFERROR(VLOOKUP(BikeData[[#This Row],[Intents]],[1]!Table2[#Data],7,FALSE),"")</f>
        <v>40</v>
      </c>
      <c r="Q300" s="2" t="str">
        <f>CHOOSE(BikeData[[#This Row],[Season]],"Spring","Summer","Fall","Winter")</f>
        <v>Spring</v>
      </c>
      <c r="R300" s="2" t="str">
        <f>CHOOSE(BikeData[[#This Row],[Weathersituation]],"Clear","Mist","Light Rain","Heavy Rain")</f>
        <v>Clear</v>
      </c>
      <c r="S300" s="2" t="str">
        <f>TEXT(BikeData[[#This Row],[Date]],"mmm")</f>
        <v>Jan</v>
      </c>
    </row>
    <row r="301" spans="1:19" x14ac:dyDescent="0.3">
      <c r="A301">
        <v>300</v>
      </c>
      <c r="B301" s="5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 s="6">
        <f>BikeData[[#This Row],[Temperature]]</f>
        <v>0.14000000000000001</v>
      </c>
      <c r="L301">
        <f>IFERROR(VLOOKUP(BikeData[[#This Row],[Intents]],[1]!Table2[#Data],3,FALSE),"")</f>
        <v>0.46</v>
      </c>
      <c r="M301">
        <f>IFERROR(VLOOKUP(BikeData[[#This Row],[Intents]],[1]!Table2[#Data],4,FALSE),"")</f>
        <v>0.32840000000000003</v>
      </c>
      <c r="N301">
        <f>IFERROR(VLOOKUP(BikeData[[#This Row],[Intents]],[1]!Table2[#Data],5,FALSE),"")</f>
        <v>0</v>
      </c>
      <c r="O301">
        <f>IFERROR(VLOOKUP(BikeData[[#This Row],[Intents]],[1]!Table2[#Data],6,FALSE),"")</f>
        <v>30</v>
      </c>
      <c r="P301">
        <f>IFERROR(VLOOKUP(BikeData[[#This Row],[Intents]],[1]!Table2[#Data],7,FALSE),"")</f>
        <v>30</v>
      </c>
      <c r="Q301" s="2" t="str">
        <f>CHOOSE(BikeData[[#This Row],[Season]],"Spring","Summer","Fall","Winter")</f>
        <v>Spring</v>
      </c>
      <c r="R301" s="2" t="str">
        <f>CHOOSE(BikeData[[#This Row],[Weathersituation]],"Clear","Mist","Light Rain","Heavy Rain")</f>
        <v>Clear</v>
      </c>
      <c r="S301" s="2" t="str">
        <f>TEXT(BikeData[[#This Row],[Date]],"mmm")</f>
        <v>Jan</v>
      </c>
    </row>
    <row r="302" spans="1:19" x14ac:dyDescent="0.3">
      <c r="A302">
        <v>301</v>
      </c>
      <c r="B302" s="5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 s="6">
        <f>BikeData[[#This Row],[Temperature]]</f>
        <v>0.12</v>
      </c>
      <c r="L302">
        <f>IFERROR(VLOOKUP(BikeData[[#This Row],[Intents]],[1]!Table2[#Data],3,FALSE),"")</f>
        <v>0.5</v>
      </c>
      <c r="M302">
        <f>IFERROR(VLOOKUP(BikeData[[#This Row],[Intents]],[1]!Table2[#Data],4,FALSE),"")</f>
        <v>0.19400000000000001</v>
      </c>
      <c r="N302">
        <f>IFERROR(VLOOKUP(BikeData[[#This Row],[Intents]],[1]!Table2[#Data],5,FALSE),"")</f>
        <v>1</v>
      </c>
      <c r="O302">
        <f>IFERROR(VLOOKUP(BikeData[[#This Row],[Intents]],[1]!Table2[#Data],6,FALSE),"")</f>
        <v>14</v>
      </c>
      <c r="P302">
        <f>IFERROR(VLOOKUP(BikeData[[#This Row],[Intents]],[1]!Table2[#Data],7,FALSE),"")</f>
        <v>15</v>
      </c>
      <c r="Q302" s="2" t="str">
        <f>CHOOSE(BikeData[[#This Row],[Season]],"Spring","Summer","Fall","Winter")</f>
        <v>Spring</v>
      </c>
      <c r="R302" s="2" t="str">
        <f>CHOOSE(BikeData[[#This Row],[Weathersituation]],"Clear","Mist","Light Rain","Heavy Rain")</f>
        <v>Clear</v>
      </c>
      <c r="S302" s="2" t="str">
        <f>TEXT(BikeData[[#This Row],[Date]],"mmm")</f>
        <v>Jan</v>
      </c>
    </row>
    <row r="303" spans="1:19" x14ac:dyDescent="0.3">
      <c r="A303">
        <v>302</v>
      </c>
      <c r="B303" s="5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 s="6">
        <f>BikeData[[#This Row],[Temperature]]</f>
        <v>0.12</v>
      </c>
      <c r="L303">
        <f>IFERROR(VLOOKUP(BikeData[[#This Row],[Intents]],[1]!Table2[#Data],3,FALSE),"")</f>
        <v>0.5</v>
      </c>
      <c r="M303">
        <f>IFERROR(VLOOKUP(BikeData[[#This Row],[Intents]],[1]!Table2[#Data],4,FALSE),"")</f>
        <v>0.19400000000000001</v>
      </c>
      <c r="N303">
        <f>IFERROR(VLOOKUP(BikeData[[#This Row],[Intents]],[1]!Table2[#Data],5,FALSE),"")</f>
        <v>0</v>
      </c>
      <c r="O303">
        <f>IFERROR(VLOOKUP(BikeData[[#This Row],[Intents]],[1]!Table2[#Data],6,FALSE),"")</f>
        <v>14</v>
      </c>
      <c r="P303">
        <f>IFERROR(VLOOKUP(BikeData[[#This Row],[Intents]],[1]!Table2[#Data],7,FALSE),"")</f>
        <v>14</v>
      </c>
      <c r="Q303" s="2" t="str">
        <f>CHOOSE(BikeData[[#This Row],[Season]],"Spring","Summer","Fall","Winter")</f>
        <v>Spring</v>
      </c>
      <c r="R303" s="2" t="str">
        <f>CHOOSE(BikeData[[#This Row],[Weathersituation]],"Clear","Mist","Light Rain","Heavy Rain")</f>
        <v>Clear</v>
      </c>
      <c r="S303" s="2" t="str">
        <f>TEXT(BikeData[[#This Row],[Date]],"mmm")</f>
        <v>Jan</v>
      </c>
    </row>
    <row r="304" spans="1:19" x14ac:dyDescent="0.3">
      <c r="A304">
        <v>303</v>
      </c>
      <c r="B304" s="5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 s="6">
        <f>BikeData[[#This Row],[Temperature]]</f>
        <v>0.1</v>
      </c>
      <c r="L304">
        <f>IFERROR(VLOOKUP(BikeData[[#This Row],[Intents]],[1]!Table2[#Data],3,FALSE),"")</f>
        <v>0.54</v>
      </c>
      <c r="M304">
        <f>IFERROR(VLOOKUP(BikeData[[#This Row],[Intents]],[1]!Table2[#Data],4,FALSE),"")</f>
        <v>0.16420000000000001</v>
      </c>
      <c r="N304">
        <f>IFERROR(VLOOKUP(BikeData[[#This Row],[Intents]],[1]!Table2[#Data],5,FALSE),"")</f>
        <v>0</v>
      </c>
      <c r="O304">
        <f>IFERROR(VLOOKUP(BikeData[[#This Row],[Intents]],[1]!Table2[#Data],6,FALSE),"")</f>
        <v>5</v>
      </c>
      <c r="P304">
        <f>IFERROR(VLOOKUP(BikeData[[#This Row],[Intents]],[1]!Table2[#Data],7,FALSE),"")</f>
        <v>5</v>
      </c>
      <c r="Q304" s="2" t="str">
        <f>CHOOSE(BikeData[[#This Row],[Season]],"Spring","Summer","Fall","Winter")</f>
        <v>Spring</v>
      </c>
      <c r="R304" s="2" t="str">
        <f>CHOOSE(BikeData[[#This Row],[Weathersituation]],"Clear","Mist","Light Rain","Heavy Rain")</f>
        <v>Clear</v>
      </c>
      <c r="S304" s="2" t="str">
        <f>TEXT(BikeData[[#This Row],[Date]],"mmm")</f>
        <v>Jan</v>
      </c>
    </row>
    <row r="305" spans="1:19" x14ac:dyDescent="0.3">
      <c r="A305">
        <v>304</v>
      </c>
      <c r="B305" s="5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 s="6">
        <f>BikeData[[#This Row],[Temperature]]</f>
        <v>0.1</v>
      </c>
      <c r="L305">
        <f>IFERROR(VLOOKUP(BikeData[[#This Row],[Intents]],[1]!Table2[#Data],3,FALSE),"")</f>
        <v>0.54</v>
      </c>
      <c r="M305">
        <f>IFERROR(VLOOKUP(BikeData[[#This Row],[Intents]],[1]!Table2[#Data],4,FALSE),"")</f>
        <v>0.1343</v>
      </c>
      <c r="N305">
        <f>IFERROR(VLOOKUP(BikeData[[#This Row],[Intents]],[1]!Table2[#Data],5,FALSE),"")</f>
        <v>0</v>
      </c>
      <c r="O305">
        <f>IFERROR(VLOOKUP(BikeData[[#This Row],[Intents]],[1]!Table2[#Data],6,FALSE),"")</f>
        <v>1</v>
      </c>
      <c r="P305">
        <f>IFERROR(VLOOKUP(BikeData[[#This Row],[Intents]],[1]!Table2[#Data],7,FALSE),"")</f>
        <v>1</v>
      </c>
      <c r="Q305" s="2" t="str">
        <f>CHOOSE(BikeData[[#This Row],[Season]],"Spring","Summer","Fall","Winter")</f>
        <v>Spring</v>
      </c>
      <c r="R305" s="2" t="str">
        <f>CHOOSE(BikeData[[#This Row],[Weathersituation]],"Clear","Mist","Light Rain","Heavy Rain")</f>
        <v>Clear</v>
      </c>
      <c r="S305" s="2" t="str">
        <f>TEXT(BikeData[[#This Row],[Date]],"mmm")</f>
        <v>Jan</v>
      </c>
    </row>
    <row r="306" spans="1:19" x14ac:dyDescent="0.3">
      <c r="A306">
        <v>305</v>
      </c>
      <c r="B306" s="5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 s="6">
        <f>BikeData[[#This Row],[Temperature]]</f>
        <v>0.1</v>
      </c>
      <c r="L306">
        <f>IFERROR(VLOOKUP(BikeData[[#This Row],[Intents]],[1]!Table2[#Data],3,FALSE),"")</f>
        <v>0.54</v>
      </c>
      <c r="M306">
        <f>IFERROR(VLOOKUP(BikeData[[#This Row],[Intents]],[1]!Table2[#Data],4,FALSE),"")</f>
        <v>0.1045</v>
      </c>
      <c r="N306">
        <f>IFERROR(VLOOKUP(BikeData[[#This Row],[Intents]],[1]!Table2[#Data],5,FALSE),"")</f>
        <v>0</v>
      </c>
      <c r="O306">
        <f>IFERROR(VLOOKUP(BikeData[[#This Row],[Intents]],[1]!Table2[#Data],6,FALSE),"")</f>
        <v>1</v>
      </c>
      <c r="P306">
        <f>IFERROR(VLOOKUP(BikeData[[#This Row],[Intents]],[1]!Table2[#Data],7,FALSE),"")</f>
        <v>1</v>
      </c>
      <c r="Q306" s="2" t="str">
        <f>CHOOSE(BikeData[[#This Row],[Season]],"Spring","Summer","Fall","Winter")</f>
        <v>Spring</v>
      </c>
      <c r="R306" s="2" t="str">
        <f>CHOOSE(BikeData[[#This Row],[Weathersituation]],"Clear","Mist","Light Rain","Heavy Rain")</f>
        <v>Clear</v>
      </c>
      <c r="S306" s="2" t="str">
        <f>TEXT(BikeData[[#This Row],[Date]],"mmm")</f>
        <v>Jan</v>
      </c>
    </row>
    <row r="307" spans="1:19" x14ac:dyDescent="0.3">
      <c r="A307">
        <v>306</v>
      </c>
      <c r="B307" s="5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 s="6">
        <f>BikeData[[#This Row],[Temperature]]</f>
        <v>0.1</v>
      </c>
      <c r="L307">
        <f>IFERROR(VLOOKUP(BikeData[[#This Row],[Intents]],[1]!Table2[#Data],3,FALSE),"")</f>
        <v>0.54</v>
      </c>
      <c r="M307">
        <f>IFERROR(VLOOKUP(BikeData[[#This Row],[Intents]],[1]!Table2[#Data],4,FALSE),"")</f>
        <v>8.9599999999999999E-2</v>
      </c>
      <c r="N307">
        <f>IFERROR(VLOOKUP(BikeData[[#This Row],[Intents]],[1]!Table2[#Data],5,FALSE),"")</f>
        <v>0</v>
      </c>
      <c r="O307">
        <f>IFERROR(VLOOKUP(BikeData[[#This Row],[Intents]],[1]!Table2[#Data],6,FALSE),"")</f>
        <v>8</v>
      </c>
      <c r="P307">
        <f>IFERROR(VLOOKUP(BikeData[[#This Row],[Intents]],[1]!Table2[#Data],7,FALSE),"")</f>
        <v>8</v>
      </c>
      <c r="Q307" s="2" t="str">
        <f>CHOOSE(BikeData[[#This Row],[Season]],"Spring","Summer","Fall","Winter")</f>
        <v>Spring</v>
      </c>
      <c r="R307" s="2" t="str">
        <f>CHOOSE(BikeData[[#This Row],[Weathersituation]],"Clear","Mist","Light Rain","Heavy Rain")</f>
        <v>Clear</v>
      </c>
      <c r="S307" s="2" t="str">
        <f>TEXT(BikeData[[#This Row],[Date]],"mmm")</f>
        <v>Jan</v>
      </c>
    </row>
    <row r="308" spans="1:19" x14ac:dyDescent="0.3">
      <c r="A308">
        <v>307</v>
      </c>
      <c r="B308" s="5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 s="6">
        <f>BikeData[[#This Row],[Temperature]]</f>
        <v>0.1</v>
      </c>
      <c r="L308">
        <f>IFERROR(VLOOKUP(BikeData[[#This Row],[Intents]],[1]!Table2[#Data],3,FALSE),"")</f>
        <v>0.54</v>
      </c>
      <c r="M308">
        <f>IFERROR(VLOOKUP(BikeData[[#This Row],[Intents]],[1]!Table2[#Data],4,FALSE),"")</f>
        <v>0</v>
      </c>
      <c r="N308">
        <f>IFERROR(VLOOKUP(BikeData[[#This Row],[Intents]],[1]!Table2[#Data],5,FALSE),"")</f>
        <v>0</v>
      </c>
      <c r="O308">
        <f>IFERROR(VLOOKUP(BikeData[[#This Row],[Intents]],[1]!Table2[#Data],6,FALSE),"")</f>
        <v>17</v>
      </c>
      <c r="P308">
        <f>IFERROR(VLOOKUP(BikeData[[#This Row],[Intents]],[1]!Table2[#Data],7,FALSE),"")</f>
        <v>17</v>
      </c>
      <c r="Q308" s="2" t="str">
        <f>CHOOSE(BikeData[[#This Row],[Season]],"Spring","Summer","Fall","Winter")</f>
        <v>Spring</v>
      </c>
      <c r="R308" s="2" t="str">
        <f>CHOOSE(BikeData[[#This Row],[Weathersituation]],"Clear","Mist","Light Rain","Heavy Rain")</f>
        <v>Clear</v>
      </c>
      <c r="S308" s="2" t="str">
        <f>TEXT(BikeData[[#This Row],[Date]],"mmm")</f>
        <v>Jan</v>
      </c>
    </row>
    <row r="309" spans="1:19" x14ac:dyDescent="0.3">
      <c r="A309">
        <v>308</v>
      </c>
      <c r="B309" s="5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 s="6">
        <f>BikeData[[#This Row],[Temperature]]</f>
        <v>0.1</v>
      </c>
      <c r="L309">
        <f>IFERROR(VLOOKUP(BikeData[[#This Row],[Intents]],[1]!Table2[#Data],3,FALSE),"")</f>
        <v>0.74</v>
      </c>
      <c r="M309">
        <f>IFERROR(VLOOKUP(BikeData[[#This Row],[Intents]],[1]!Table2[#Data],4,FALSE),"")</f>
        <v>0.16420000000000001</v>
      </c>
      <c r="N309">
        <f>IFERROR(VLOOKUP(BikeData[[#This Row],[Intents]],[1]!Table2[#Data],5,FALSE),"")</f>
        <v>0</v>
      </c>
      <c r="O309">
        <f>IFERROR(VLOOKUP(BikeData[[#This Row],[Intents]],[1]!Table2[#Data],6,FALSE),"")</f>
        <v>70</v>
      </c>
      <c r="P309">
        <f>IFERROR(VLOOKUP(BikeData[[#This Row],[Intents]],[1]!Table2[#Data],7,FALSE),"")</f>
        <v>70</v>
      </c>
      <c r="Q309" s="2" t="str">
        <f>CHOOSE(BikeData[[#This Row],[Season]],"Spring","Summer","Fall","Winter")</f>
        <v>Spring</v>
      </c>
      <c r="R309" s="2" t="str">
        <f>CHOOSE(BikeData[[#This Row],[Weathersituation]],"Clear","Mist","Light Rain","Heavy Rain")</f>
        <v>Clear</v>
      </c>
      <c r="S309" s="2" t="str">
        <f>TEXT(BikeData[[#This Row],[Date]],"mmm")</f>
        <v>Jan</v>
      </c>
    </row>
    <row r="310" spans="1:19" x14ac:dyDescent="0.3">
      <c r="A310">
        <v>309</v>
      </c>
      <c r="B310" s="5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 s="6">
        <f>BikeData[[#This Row],[Temperature]]</f>
        <v>0.12</v>
      </c>
      <c r="L310">
        <f>IFERROR(VLOOKUP(BikeData[[#This Row],[Intents]],[1]!Table2[#Data],3,FALSE),"")</f>
        <v>0.68</v>
      </c>
      <c r="M310">
        <f>IFERROR(VLOOKUP(BikeData[[#This Row],[Intents]],[1]!Table2[#Data],4,FALSE),"")</f>
        <v>0</v>
      </c>
      <c r="N310">
        <f>IFERROR(VLOOKUP(BikeData[[#This Row],[Intents]],[1]!Table2[#Data],5,FALSE),"")</f>
        <v>2</v>
      </c>
      <c r="O310">
        <f>IFERROR(VLOOKUP(BikeData[[#This Row],[Intents]],[1]!Table2[#Data],6,FALSE),"")</f>
        <v>156</v>
      </c>
      <c r="P310">
        <f>IFERROR(VLOOKUP(BikeData[[#This Row],[Intents]],[1]!Table2[#Data],7,FALSE),"")</f>
        <v>158</v>
      </c>
      <c r="Q310" s="2" t="str">
        <f>CHOOSE(BikeData[[#This Row],[Season]],"Spring","Summer","Fall","Winter")</f>
        <v>Spring</v>
      </c>
      <c r="R310" s="2" t="str">
        <f>CHOOSE(BikeData[[#This Row],[Weathersituation]],"Clear","Mist","Light Rain","Heavy Rain")</f>
        <v>Clear</v>
      </c>
      <c r="S310" s="2" t="str">
        <f>TEXT(BikeData[[#This Row],[Date]],"mmm")</f>
        <v>Jan</v>
      </c>
    </row>
    <row r="311" spans="1:19" x14ac:dyDescent="0.3">
      <c r="A311">
        <v>310</v>
      </c>
      <c r="B311" s="5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 s="6">
        <f>BikeData[[#This Row],[Temperature]]</f>
        <v>0.14000000000000001</v>
      </c>
      <c r="L311">
        <f>IFERROR(VLOOKUP(BikeData[[#This Row],[Intents]],[1]!Table2[#Data],3,FALSE),"")</f>
        <v>0.69</v>
      </c>
      <c r="M311">
        <f>IFERROR(VLOOKUP(BikeData[[#This Row],[Intents]],[1]!Table2[#Data],4,FALSE),"")</f>
        <v>0.1343</v>
      </c>
      <c r="N311">
        <f>IFERROR(VLOOKUP(BikeData[[#This Row],[Intents]],[1]!Table2[#Data],5,FALSE),"")</f>
        <v>0</v>
      </c>
      <c r="O311">
        <f>IFERROR(VLOOKUP(BikeData[[#This Row],[Intents]],[1]!Table2[#Data],6,FALSE),"")</f>
        <v>117</v>
      </c>
      <c r="P311">
        <f>IFERROR(VLOOKUP(BikeData[[#This Row],[Intents]],[1]!Table2[#Data],7,FALSE),"")</f>
        <v>117</v>
      </c>
      <c r="Q311" s="2" t="str">
        <f>CHOOSE(BikeData[[#This Row],[Season]],"Spring","Summer","Fall","Winter")</f>
        <v>Spring</v>
      </c>
      <c r="R311" s="2" t="str">
        <f>CHOOSE(BikeData[[#This Row],[Weathersituation]],"Clear","Mist","Light Rain","Heavy Rain")</f>
        <v>Clear</v>
      </c>
      <c r="S311" s="2" t="str">
        <f>TEXT(BikeData[[#This Row],[Date]],"mmm")</f>
        <v>Jan</v>
      </c>
    </row>
    <row r="312" spans="1:19" x14ac:dyDescent="0.3">
      <c r="A312">
        <v>311</v>
      </c>
      <c r="B312" s="5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 s="6">
        <f>BikeData[[#This Row],[Temperature]]</f>
        <v>0.18</v>
      </c>
      <c r="L312">
        <f>IFERROR(VLOOKUP(BikeData[[#This Row],[Intents]],[1]!Table2[#Data],3,FALSE),"")</f>
        <v>0.55000000000000004</v>
      </c>
      <c r="M312">
        <f>IFERROR(VLOOKUP(BikeData[[#This Row],[Intents]],[1]!Table2[#Data],4,FALSE),"")</f>
        <v>0.19400000000000001</v>
      </c>
      <c r="N312">
        <f>IFERROR(VLOOKUP(BikeData[[#This Row],[Intents]],[1]!Table2[#Data],5,FALSE),"")</f>
        <v>4</v>
      </c>
      <c r="O312">
        <f>IFERROR(VLOOKUP(BikeData[[#This Row],[Intents]],[1]!Table2[#Data],6,FALSE),"")</f>
        <v>40</v>
      </c>
      <c r="P312">
        <f>IFERROR(VLOOKUP(BikeData[[#This Row],[Intents]],[1]!Table2[#Data],7,FALSE),"")</f>
        <v>44</v>
      </c>
      <c r="Q312" s="2" t="str">
        <f>CHOOSE(BikeData[[#This Row],[Season]],"Spring","Summer","Fall","Winter")</f>
        <v>Spring</v>
      </c>
      <c r="R312" s="2" t="str">
        <f>CHOOSE(BikeData[[#This Row],[Weathersituation]],"Clear","Mist","Light Rain","Heavy Rain")</f>
        <v>Clear</v>
      </c>
      <c r="S312" s="2" t="str">
        <f>TEXT(BikeData[[#This Row],[Date]],"mmm")</f>
        <v>Jan</v>
      </c>
    </row>
    <row r="313" spans="1:19" x14ac:dyDescent="0.3">
      <c r="A313">
        <v>312</v>
      </c>
      <c r="B313" s="5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 s="6">
        <f>BikeData[[#This Row],[Temperature]]</f>
        <v>0.18</v>
      </c>
      <c r="L313">
        <f>IFERROR(VLOOKUP(BikeData[[#This Row],[Intents]],[1]!Table2[#Data],3,FALSE),"")</f>
        <v>0.51</v>
      </c>
      <c r="M313">
        <f>IFERROR(VLOOKUP(BikeData[[#This Row],[Intents]],[1]!Table2[#Data],4,FALSE),"")</f>
        <v>0.28360000000000002</v>
      </c>
      <c r="N313">
        <f>IFERROR(VLOOKUP(BikeData[[#This Row],[Intents]],[1]!Table2[#Data],5,FALSE),"")</f>
        <v>6</v>
      </c>
      <c r="O313">
        <f>IFERROR(VLOOKUP(BikeData[[#This Row],[Intents]],[1]!Table2[#Data],6,FALSE),"")</f>
        <v>47</v>
      </c>
      <c r="P313">
        <f>IFERROR(VLOOKUP(BikeData[[#This Row],[Intents]],[1]!Table2[#Data],7,FALSE),"")</f>
        <v>53</v>
      </c>
      <c r="Q313" s="2" t="str">
        <f>CHOOSE(BikeData[[#This Row],[Season]],"Spring","Summer","Fall","Winter")</f>
        <v>Spring</v>
      </c>
      <c r="R313" s="2" t="str">
        <f>CHOOSE(BikeData[[#This Row],[Weathersituation]],"Clear","Mist","Light Rain","Heavy Rain")</f>
        <v>Clear</v>
      </c>
      <c r="S313" s="2" t="str">
        <f>TEXT(BikeData[[#This Row],[Date]],"mmm")</f>
        <v>Jan</v>
      </c>
    </row>
    <row r="314" spans="1:19" x14ac:dyDescent="0.3">
      <c r="A314">
        <v>313</v>
      </c>
      <c r="B314" s="5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 s="6">
        <f>BikeData[[#This Row],[Temperature]]</f>
        <v>0.2</v>
      </c>
      <c r="L314">
        <f>IFERROR(VLOOKUP(BikeData[[#This Row],[Intents]],[1]!Table2[#Data],3,FALSE),"")</f>
        <v>0.44</v>
      </c>
      <c r="M314">
        <f>IFERROR(VLOOKUP(BikeData[[#This Row],[Intents]],[1]!Table2[#Data],4,FALSE),"")</f>
        <v>0.25369999999999998</v>
      </c>
      <c r="N314">
        <f>IFERROR(VLOOKUP(BikeData[[#This Row],[Intents]],[1]!Table2[#Data],5,FALSE),"")</f>
        <v>2</v>
      </c>
      <c r="O314">
        <f>IFERROR(VLOOKUP(BikeData[[#This Row],[Intents]],[1]!Table2[#Data],6,FALSE),"")</f>
        <v>59</v>
      </c>
      <c r="P314">
        <f>IFERROR(VLOOKUP(BikeData[[#This Row],[Intents]],[1]!Table2[#Data],7,FALSE),"")</f>
        <v>61</v>
      </c>
      <c r="Q314" s="2" t="str">
        <f>CHOOSE(BikeData[[#This Row],[Season]],"Spring","Summer","Fall","Winter")</f>
        <v>Spring</v>
      </c>
      <c r="R314" s="2" t="str">
        <f>CHOOSE(BikeData[[#This Row],[Weathersituation]],"Clear","Mist","Light Rain","Heavy Rain")</f>
        <v>Clear</v>
      </c>
      <c r="S314" s="2" t="str">
        <f>TEXT(BikeData[[#This Row],[Date]],"mmm")</f>
        <v>Jan</v>
      </c>
    </row>
    <row r="315" spans="1:19" x14ac:dyDescent="0.3">
      <c r="A315">
        <v>314</v>
      </c>
      <c r="B315" s="5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 s="6">
        <f>BikeData[[#This Row],[Temperature]]</f>
        <v>0.22</v>
      </c>
      <c r="L315">
        <f>IFERROR(VLOOKUP(BikeData[[#This Row],[Intents]],[1]!Table2[#Data],3,FALSE),"")</f>
        <v>0.37</v>
      </c>
      <c r="M315">
        <f>IFERROR(VLOOKUP(BikeData[[#This Row],[Intents]],[1]!Table2[#Data],4,FALSE),"")</f>
        <v>0.3881</v>
      </c>
      <c r="N315">
        <f>IFERROR(VLOOKUP(BikeData[[#This Row],[Intents]],[1]!Table2[#Data],5,FALSE),"")</f>
        <v>4</v>
      </c>
      <c r="O315">
        <f>IFERROR(VLOOKUP(BikeData[[#This Row],[Intents]],[1]!Table2[#Data],6,FALSE),"")</f>
        <v>73</v>
      </c>
      <c r="P315">
        <f>IFERROR(VLOOKUP(BikeData[[#This Row],[Intents]],[1]!Table2[#Data],7,FALSE),"")</f>
        <v>77</v>
      </c>
      <c r="Q315" s="2" t="str">
        <f>CHOOSE(BikeData[[#This Row],[Season]],"Spring","Summer","Fall","Winter")</f>
        <v>Spring</v>
      </c>
      <c r="R315" s="2" t="str">
        <f>CHOOSE(BikeData[[#This Row],[Weathersituation]],"Clear","Mist","Light Rain","Heavy Rain")</f>
        <v>Clear</v>
      </c>
      <c r="S315" s="2" t="str">
        <f>TEXT(BikeData[[#This Row],[Date]],"mmm")</f>
        <v>Jan</v>
      </c>
    </row>
    <row r="316" spans="1:19" x14ac:dyDescent="0.3">
      <c r="A316">
        <v>315</v>
      </c>
      <c r="B316" s="5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 s="6">
        <f>BikeData[[#This Row],[Temperature]]</f>
        <v>0.22</v>
      </c>
      <c r="L316">
        <f>IFERROR(VLOOKUP(BikeData[[#This Row],[Intents]],[1]!Table2[#Data],3,FALSE),"")</f>
        <v>0.41</v>
      </c>
      <c r="M316">
        <f>IFERROR(VLOOKUP(BikeData[[#This Row],[Intents]],[1]!Table2[#Data],4,FALSE),"")</f>
        <v>0.28360000000000002</v>
      </c>
      <c r="N316">
        <f>IFERROR(VLOOKUP(BikeData[[#This Row],[Intents]],[1]!Table2[#Data],5,FALSE),"")</f>
        <v>5</v>
      </c>
      <c r="O316">
        <f>IFERROR(VLOOKUP(BikeData[[#This Row],[Intents]],[1]!Table2[#Data],6,FALSE),"")</f>
        <v>59</v>
      </c>
      <c r="P316">
        <f>IFERROR(VLOOKUP(BikeData[[#This Row],[Intents]],[1]!Table2[#Data],7,FALSE),"")</f>
        <v>64</v>
      </c>
      <c r="Q316" s="2" t="str">
        <f>CHOOSE(BikeData[[#This Row],[Season]],"Spring","Summer","Fall","Winter")</f>
        <v>Spring</v>
      </c>
      <c r="R316" s="2" t="str">
        <f>CHOOSE(BikeData[[#This Row],[Weathersituation]],"Clear","Mist","Light Rain","Heavy Rain")</f>
        <v>Clear</v>
      </c>
      <c r="S316" s="2" t="str">
        <f>TEXT(BikeData[[#This Row],[Date]],"mmm")</f>
        <v>Jan</v>
      </c>
    </row>
    <row r="317" spans="1:19" x14ac:dyDescent="0.3">
      <c r="A317">
        <v>316</v>
      </c>
      <c r="B317" s="5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 s="6">
        <f>BikeData[[#This Row],[Temperature]]</f>
        <v>0.24</v>
      </c>
      <c r="L317">
        <f>IFERROR(VLOOKUP(BikeData[[#This Row],[Intents]],[1]!Table2[#Data],3,FALSE),"")</f>
        <v>0.38</v>
      </c>
      <c r="M317">
        <f>IFERROR(VLOOKUP(BikeData[[#This Row],[Intents]],[1]!Table2[#Data],4,FALSE),"")</f>
        <v>0.16420000000000001</v>
      </c>
      <c r="N317">
        <f>IFERROR(VLOOKUP(BikeData[[#This Row],[Intents]],[1]!Table2[#Data],5,FALSE),"")</f>
        <v>9</v>
      </c>
      <c r="O317">
        <f>IFERROR(VLOOKUP(BikeData[[#This Row],[Intents]],[1]!Table2[#Data],6,FALSE),"")</f>
        <v>59</v>
      </c>
      <c r="P317">
        <f>IFERROR(VLOOKUP(BikeData[[#This Row],[Intents]],[1]!Table2[#Data],7,FALSE),"")</f>
        <v>68</v>
      </c>
      <c r="Q317" s="2" t="str">
        <f>CHOOSE(BikeData[[#This Row],[Season]],"Spring","Summer","Fall","Winter")</f>
        <v>Spring</v>
      </c>
      <c r="R317" s="2" t="str">
        <f>CHOOSE(BikeData[[#This Row],[Weathersituation]],"Clear","Mist","Light Rain","Heavy Rain")</f>
        <v>Clear</v>
      </c>
      <c r="S317" s="2" t="str">
        <f>TEXT(BikeData[[#This Row],[Date]],"mmm")</f>
        <v>Jan</v>
      </c>
    </row>
    <row r="318" spans="1:19" x14ac:dyDescent="0.3">
      <c r="A318">
        <v>317</v>
      </c>
      <c r="B318" s="5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 s="6">
        <f>BikeData[[#This Row],[Temperature]]</f>
        <v>0.22</v>
      </c>
      <c r="L318">
        <f>IFERROR(VLOOKUP(BikeData[[#This Row],[Intents]],[1]!Table2[#Data],3,FALSE),"")</f>
        <v>0.41</v>
      </c>
      <c r="M318">
        <f>IFERROR(VLOOKUP(BikeData[[#This Row],[Intents]],[1]!Table2[#Data],4,FALSE),"")</f>
        <v>0.1045</v>
      </c>
      <c r="N318">
        <f>IFERROR(VLOOKUP(BikeData[[#This Row],[Intents]],[1]!Table2[#Data],5,FALSE),"")</f>
        <v>3</v>
      </c>
      <c r="O318">
        <f>IFERROR(VLOOKUP(BikeData[[#This Row],[Intents]],[1]!Table2[#Data],6,FALSE),"")</f>
        <v>87</v>
      </c>
      <c r="P318">
        <f>IFERROR(VLOOKUP(BikeData[[#This Row],[Intents]],[1]!Table2[#Data],7,FALSE),"")</f>
        <v>90</v>
      </c>
      <c r="Q318" s="2" t="str">
        <f>CHOOSE(BikeData[[#This Row],[Season]],"Spring","Summer","Fall","Winter")</f>
        <v>Spring</v>
      </c>
      <c r="R318" s="2" t="str">
        <f>CHOOSE(BikeData[[#This Row],[Weathersituation]],"Clear","Mist","Light Rain","Heavy Rain")</f>
        <v>Clear</v>
      </c>
      <c r="S318" s="2" t="str">
        <f>TEXT(BikeData[[#This Row],[Date]],"mmm")</f>
        <v>Jan</v>
      </c>
    </row>
    <row r="319" spans="1:19" x14ac:dyDescent="0.3">
      <c r="A319">
        <v>318</v>
      </c>
      <c r="B319" s="5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 s="6">
        <f>BikeData[[#This Row],[Temperature]]</f>
        <v>0.22</v>
      </c>
      <c r="L319">
        <f>IFERROR(VLOOKUP(BikeData[[#This Row],[Intents]],[1]!Table2[#Data],3,FALSE),"")</f>
        <v>0.41</v>
      </c>
      <c r="M319">
        <f>IFERROR(VLOOKUP(BikeData[[#This Row],[Intents]],[1]!Table2[#Data],4,FALSE),"")</f>
        <v>0.16420000000000001</v>
      </c>
      <c r="N319">
        <f>IFERROR(VLOOKUP(BikeData[[#This Row],[Intents]],[1]!Table2[#Data],5,FALSE),"")</f>
        <v>4</v>
      </c>
      <c r="O319">
        <f>IFERROR(VLOOKUP(BikeData[[#This Row],[Intents]],[1]!Table2[#Data],6,FALSE),"")</f>
        <v>155</v>
      </c>
      <c r="P319">
        <f>IFERROR(VLOOKUP(BikeData[[#This Row],[Intents]],[1]!Table2[#Data],7,FALSE),"")</f>
        <v>159</v>
      </c>
      <c r="Q319" s="2" t="str">
        <f>CHOOSE(BikeData[[#This Row],[Season]],"Spring","Summer","Fall","Winter")</f>
        <v>Spring</v>
      </c>
      <c r="R319" s="2" t="str">
        <f>CHOOSE(BikeData[[#This Row],[Weathersituation]],"Clear","Mist","Light Rain","Heavy Rain")</f>
        <v>Clear</v>
      </c>
      <c r="S319" s="2" t="str">
        <f>TEXT(BikeData[[#This Row],[Date]],"mmm")</f>
        <v>Jan</v>
      </c>
    </row>
    <row r="320" spans="1:19" x14ac:dyDescent="0.3">
      <c r="A320">
        <v>319</v>
      </c>
      <c r="B320" s="5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 s="6">
        <f>BikeData[[#This Row],[Temperature]]</f>
        <v>0.2</v>
      </c>
      <c r="L320">
        <f>IFERROR(VLOOKUP(BikeData[[#This Row],[Intents]],[1]!Table2[#Data],3,FALSE),"")</f>
        <v>0.47</v>
      </c>
      <c r="M320">
        <f>IFERROR(VLOOKUP(BikeData[[#This Row],[Intents]],[1]!Table2[#Data],4,FALSE),"")</f>
        <v>0</v>
      </c>
      <c r="N320">
        <f>IFERROR(VLOOKUP(BikeData[[#This Row],[Intents]],[1]!Table2[#Data],5,FALSE),"")</f>
        <v>5</v>
      </c>
      <c r="O320">
        <f>IFERROR(VLOOKUP(BikeData[[#This Row],[Intents]],[1]!Table2[#Data],6,FALSE),"")</f>
        <v>134</v>
      </c>
      <c r="P320">
        <f>IFERROR(VLOOKUP(BikeData[[#This Row],[Intents]],[1]!Table2[#Data],7,FALSE),"")</f>
        <v>139</v>
      </c>
      <c r="Q320" s="2" t="str">
        <f>CHOOSE(BikeData[[#This Row],[Season]],"Spring","Summer","Fall","Winter")</f>
        <v>Spring</v>
      </c>
      <c r="R320" s="2" t="str">
        <f>CHOOSE(BikeData[[#This Row],[Weathersituation]],"Clear","Mist","Light Rain","Heavy Rain")</f>
        <v>Clear</v>
      </c>
      <c r="S320" s="2" t="str">
        <f>TEXT(BikeData[[#This Row],[Date]],"mmm")</f>
        <v>Jan</v>
      </c>
    </row>
    <row r="321" spans="1:19" x14ac:dyDescent="0.3">
      <c r="A321">
        <v>320</v>
      </c>
      <c r="B321" s="5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 s="6">
        <f>BikeData[[#This Row],[Temperature]]</f>
        <v>0.16</v>
      </c>
      <c r="L321">
        <f>IFERROR(VLOOKUP(BikeData[[#This Row],[Intents]],[1]!Table2[#Data],3,FALSE),"")</f>
        <v>0.59</v>
      </c>
      <c r="M321">
        <f>IFERROR(VLOOKUP(BikeData[[#This Row],[Intents]],[1]!Table2[#Data],4,FALSE),"")</f>
        <v>8.9599999999999999E-2</v>
      </c>
      <c r="N321">
        <f>IFERROR(VLOOKUP(BikeData[[#This Row],[Intents]],[1]!Table2[#Data],5,FALSE),"")</f>
        <v>3</v>
      </c>
      <c r="O321">
        <f>IFERROR(VLOOKUP(BikeData[[#This Row],[Intents]],[1]!Table2[#Data],6,FALSE),"")</f>
        <v>89</v>
      </c>
      <c r="P321">
        <f>IFERROR(VLOOKUP(BikeData[[#This Row],[Intents]],[1]!Table2[#Data],7,FALSE),"")</f>
        <v>92</v>
      </c>
      <c r="Q321" s="2" t="str">
        <f>CHOOSE(BikeData[[#This Row],[Season]],"Spring","Summer","Fall","Winter")</f>
        <v>Spring</v>
      </c>
      <c r="R321" s="2" t="str">
        <f>CHOOSE(BikeData[[#This Row],[Weathersituation]],"Clear","Mist","Light Rain","Heavy Rain")</f>
        <v>Clear</v>
      </c>
      <c r="S321" s="2" t="str">
        <f>TEXT(BikeData[[#This Row],[Date]],"mmm")</f>
        <v>Jan</v>
      </c>
    </row>
    <row r="322" spans="1:19" x14ac:dyDescent="0.3">
      <c r="A322">
        <v>321</v>
      </c>
      <c r="B322" s="5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 s="6">
        <f>BikeData[[#This Row],[Temperature]]</f>
        <v>0.18</v>
      </c>
      <c r="L322">
        <f>IFERROR(VLOOKUP(BikeData[[#This Row],[Intents]],[1]!Table2[#Data],3,FALSE),"")</f>
        <v>0.59</v>
      </c>
      <c r="M322">
        <f>IFERROR(VLOOKUP(BikeData[[#This Row],[Intents]],[1]!Table2[#Data],4,FALSE),"")</f>
        <v>0</v>
      </c>
      <c r="N322">
        <f>IFERROR(VLOOKUP(BikeData[[#This Row],[Intents]],[1]!Table2[#Data],5,FALSE),"")</f>
        <v>0</v>
      </c>
      <c r="O322">
        <f>IFERROR(VLOOKUP(BikeData[[#This Row],[Intents]],[1]!Table2[#Data],6,FALSE),"")</f>
        <v>68</v>
      </c>
      <c r="P322">
        <f>IFERROR(VLOOKUP(BikeData[[#This Row],[Intents]],[1]!Table2[#Data],7,FALSE),"")</f>
        <v>68</v>
      </c>
      <c r="Q322" s="2" t="str">
        <f>CHOOSE(BikeData[[#This Row],[Season]],"Spring","Summer","Fall","Winter")</f>
        <v>Spring</v>
      </c>
      <c r="R322" s="2" t="str">
        <f>CHOOSE(BikeData[[#This Row],[Weathersituation]],"Clear","Mist","Light Rain","Heavy Rain")</f>
        <v>Clear</v>
      </c>
      <c r="S322" s="2" t="str">
        <f>TEXT(BikeData[[#This Row],[Date]],"mmm")</f>
        <v>Jan</v>
      </c>
    </row>
    <row r="323" spans="1:19" x14ac:dyDescent="0.3">
      <c r="A323">
        <v>322</v>
      </c>
      <c r="B323" s="5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 s="6">
        <f>BikeData[[#This Row],[Temperature]]</f>
        <v>0.16</v>
      </c>
      <c r="L323">
        <f>IFERROR(VLOOKUP(BikeData[[#This Row],[Intents]],[1]!Table2[#Data],3,FALSE),"")</f>
        <v>0.69</v>
      </c>
      <c r="M323">
        <f>IFERROR(VLOOKUP(BikeData[[#This Row],[Intents]],[1]!Table2[#Data],4,FALSE),"")</f>
        <v>0</v>
      </c>
      <c r="N323">
        <f>IFERROR(VLOOKUP(BikeData[[#This Row],[Intents]],[1]!Table2[#Data],5,FALSE),"")</f>
        <v>4</v>
      </c>
      <c r="O323">
        <f>IFERROR(VLOOKUP(BikeData[[#This Row],[Intents]],[1]!Table2[#Data],6,FALSE),"")</f>
        <v>48</v>
      </c>
      <c r="P323">
        <f>IFERROR(VLOOKUP(BikeData[[#This Row],[Intents]],[1]!Table2[#Data],7,FALSE),"")</f>
        <v>52</v>
      </c>
      <c r="Q323" s="2" t="str">
        <f>CHOOSE(BikeData[[#This Row],[Season]],"Spring","Summer","Fall","Winter")</f>
        <v>Spring</v>
      </c>
      <c r="R323" s="2" t="str">
        <f>CHOOSE(BikeData[[#This Row],[Weathersituation]],"Clear","Mist","Light Rain","Heavy Rain")</f>
        <v>Clear</v>
      </c>
      <c r="S323" s="2" t="str">
        <f>TEXT(BikeData[[#This Row],[Date]],"mmm")</f>
        <v>Jan</v>
      </c>
    </row>
    <row r="324" spans="1:19" x14ac:dyDescent="0.3">
      <c r="A324">
        <v>323</v>
      </c>
      <c r="B324" s="5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 s="6">
        <f>BikeData[[#This Row],[Temperature]]</f>
        <v>0.16</v>
      </c>
      <c r="L324">
        <f>IFERROR(VLOOKUP(BikeData[[#This Row],[Intents]],[1]!Table2[#Data],3,FALSE),"")</f>
        <v>0.69</v>
      </c>
      <c r="M324">
        <f>IFERROR(VLOOKUP(BikeData[[#This Row],[Intents]],[1]!Table2[#Data],4,FALSE),"")</f>
        <v>0</v>
      </c>
      <c r="N324">
        <f>IFERROR(VLOOKUP(BikeData[[#This Row],[Intents]],[1]!Table2[#Data],5,FALSE),"")</f>
        <v>2</v>
      </c>
      <c r="O324">
        <f>IFERROR(VLOOKUP(BikeData[[#This Row],[Intents]],[1]!Table2[#Data],6,FALSE),"")</f>
        <v>34</v>
      </c>
      <c r="P324">
        <f>IFERROR(VLOOKUP(BikeData[[#This Row],[Intents]],[1]!Table2[#Data],7,FALSE),"")</f>
        <v>36</v>
      </c>
      <c r="Q324" s="2" t="str">
        <f>CHOOSE(BikeData[[#This Row],[Season]],"Spring","Summer","Fall","Winter")</f>
        <v>Spring</v>
      </c>
      <c r="R324" s="2" t="str">
        <f>CHOOSE(BikeData[[#This Row],[Weathersituation]],"Clear","Mist","Light Rain","Heavy Rain")</f>
        <v>Mist</v>
      </c>
      <c r="S324" s="2" t="str">
        <f>TEXT(BikeData[[#This Row],[Date]],"mmm")</f>
        <v>Jan</v>
      </c>
    </row>
    <row r="325" spans="1:19" x14ac:dyDescent="0.3">
      <c r="A325">
        <v>324</v>
      </c>
      <c r="B325" s="5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 s="6">
        <f>BikeData[[#This Row],[Temperature]]</f>
        <v>0.18</v>
      </c>
      <c r="L325">
        <f>IFERROR(VLOOKUP(BikeData[[#This Row],[Intents]],[1]!Table2[#Data],3,FALSE),"")</f>
        <v>0.55000000000000004</v>
      </c>
      <c r="M325">
        <f>IFERROR(VLOOKUP(BikeData[[#This Row],[Intents]],[1]!Table2[#Data],4,FALSE),"")</f>
        <v>0</v>
      </c>
      <c r="N325">
        <f>IFERROR(VLOOKUP(BikeData[[#This Row],[Intents]],[1]!Table2[#Data],5,FALSE),"")</f>
        <v>1</v>
      </c>
      <c r="O325">
        <f>IFERROR(VLOOKUP(BikeData[[#This Row],[Intents]],[1]!Table2[#Data],6,FALSE),"")</f>
        <v>26</v>
      </c>
      <c r="P325">
        <f>IFERROR(VLOOKUP(BikeData[[#This Row],[Intents]],[1]!Table2[#Data],7,FALSE),"")</f>
        <v>27</v>
      </c>
      <c r="Q325" s="2" t="str">
        <f>CHOOSE(BikeData[[#This Row],[Season]],"Spring","Summer","Fall","Winter")</f>
        <v>Spring</v>
      </c>
      <c r="R325" s="2" t="str">
        <f>CHOOSE(BikeData[[#This Row],[Weathersituation]],"Clear","Mist","Light Rain","Heavy Rain")</f>
        <v>Mist</v>
      </c>
      <c r="S325" s="2" t="str">
        <f>TEXT(BikeData[[#This Row],[Date]],"mmm")</f>
        <v>Jan</v>
      </c>
    </row>
    <row r="326" spans="1:19" x14ac:dyDescent="0.3">
      <c r="A326">
        <v>325</v>
      </c>
      <c r="B326" s="5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 s="6">
        <f>BikeData[[#This Row],[Temperature]]</f>
        <v>0.18</v>
      </c>
      <c r="L326">
        <f>IFERROR(VLOOKUP(BikeData[[#This Row],[Intents]],[1]!Table2[#Data],3,FALSE),"")</f>
        <v>0.55000000000000004</v>
      </c>
      <c r="M326">
        <f>IFERROR(VLOOKUP(BikeData[[#This Row],[Intents]],[1]!Table2[#Data],4,FALSE),"")</f>
        <v>0</v>
      </c>
      <c r="N326">
        <f>IFERROR(VLOOKUP(BikeData[[#This Row],[Intents]],[1]!Table2[#Data],5,FALSE),"")</f>
        <v>3</v>
      </c>
      <c r="O326">
        <f>IFERROR(VLOOKUP(BikeData[[#This Row],[Intents]],[1]!Table2[#Data],6,FALSE),"")</f>
        <v>25</v>
      </c>
      <c r="P326">
        <f>IFERROR(VLOOKUP(BikeData[[#This Row],[Intents]],[1]!Table2[#Data],7,FALSE),"")</f>
        <v>28</v>
      </c>
      <c r="Q326" s="2" t="str">
        <f>CHOOSE(BikeData[[#This Row],[Season]],"Spring","Summer","Fall","Winter")</f>
        <v>Spring</v>
      </c>
      <c r="R326" s="2" t="str">
        <f>CHOOSE(BikeData[[#This Row],[Weathersituation]],"Clear","Mist","Light Rain","Heavy Rain")</f>
        <v>Clear</v>
      </c>
      <c r="S326" s="2" t="str">
        <f>TEXT(BikeData[[#This Row],[Date]],"mmm")</f>
        <v>Jan</v>
      </c>
    </row>
    <row r="327" spans="1:19" x14ac:dyDescent="0.3">
      <c r="A327">
        <v>326</v>
      </c>
      <c r="B327" s="5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 s="6">
        <f>BikeData[[#This Row],[Temperature]]</f>
        <v>0.16</v>
      </c>
      <c r="L327">
        <f>IFERROR(VLOOKUP(BikeData[[#This Row],[Intents]],[1]!Table2[#Data],3,FALSE),"")</f>
        <v>0.59</v>
      </c>
      <c r="M327">
        <f>IFERROR(VLOOKUP(BikeData[[#This Row],[Intents]],[1]!Table2[#Data],4,FALSE),"")</f>
        <v>8.9599999999999999E-2</v>
      </c>
      <c r="N327">
        <f>IFERROR(VLOOKUP(BikeData[[#This Row],[Intents]],[1]!Table2[#Data],5,FALSE),"")</f>
        <v>2</v>
      </c>
      <c r="O327">
        <f>IFERROR(VLOOKUP(BikeData[[#This Row],[Intents]],[1]!Table2[#Data],6,FALSE),"")</f>
        <v>18</v>
      </c>
      <c r="P327">
        <f>IFERROR(VLOOKUP(BikeData[[#This Row],[Intents]],[1]!Table2[#Data],7,FALSE),"")</f>
        <v>20</v>
      </c>
      <c r="Q327" s="2" t="str">
        <f>CHOOSE(BikeData[[#This Row],[Season]],"Spring","Summer","Fall","Winter")</f>
        <v>Spring</v>
      </c>
      <c r="R327" s="2" t="str">
        <f>CHOOSE(BikeData[[#This Row],[Weathersituation]],"Clear","Mist","Light Rain","Heavy Rain")</f>
        <v>Mist</v>
      </c>
      <c r="S327" s="2" t="str">
        <f>TEXT(BikeData[[#This Row],[Date]],"mmm")</f>
        <v>Jan</v>
      </c>
    </row>
    <row r="328" spans="1:19" x14ac:dyDescent="0.3">
      <c r="A328">
        <v>327</v>
      </c>
      <c r="B328" s="5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 s="6">
        <f>BikeData[[#This Row],[Temperature]]</f>
        <v>0.16</v>
      </c>
      <c r="L328">
        <f>IFERROR(VLOOKUP(BikeData[[#This Row],[Intents]],[1]!Table2[#Data],3,FALSE),"")</f>
        <v>0.59</v>
      </c>
      <c r="M328">
        <f>IFERROR(VLOOKUP(BikeData[[#This Row],[Intents]],[1]!Table2[#Data],4,FALSE),"")</f>
        <v>8.9599999999999999E-2</v>
      </c>
      <c r="N328">
        <f>IFERROR(VLOOKUP(BikeData[[#This Row],[Intents]],[1]!Table2[#Data],5,FALSE),"")</f>
        <v>0</v>
      </c>
      <c r="O328">
        <f>IFERROR(VLOOKUP(BikeData[[#This Row],[Intents]],[1]!Table2[#Data],6,FALSE),"")</f>
        <v>12</v>
      </c>
      <c r="P328">
        <f>IFERROR(VLOOKUP(BikeData[[#This Row],[Intents]],[1]!Table2[#Data],7,FALSE),"")</f>
        <v>12</v>
      </c>
      <c r="Q328" s="2" t="str">
        <f>CHOOSE(BikeData[[#This Row],[Season]],"Spring","Summer","Fall","Winter")</f>
        <v>Spring</v>
      </c>
      <c r="R328" s="2" t="str">
        <f>CHOOSE(BikeData[[#This Row],[Weathersituation]],"Clear","Mist","Light Rain","Heavy Rain")</f>
        <v>Mist</v>
      </c>
      <c r="S328" s="2" t="str">
        <f>TEXT(BikeData[[#This Row],[Date]],"mmm")</f>
        <v>Jan</v>
      </c>
    </row>
    <row r="329" spans="1:19" x14ac:dyDescent="0.3">
      <c r="A329">
        <v>328</v>
      </c>
      <c r="B329" s="5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 s="6">
        <f>BikeData[[#This Row],[Temperature]]</f>
        <v>0.16</v>
      </c>
      <c r="L329">
        <f>IFERROR(VLOOKUP(BikeData[[#This Row],[Intents]],[1]!Table2[#Data],3,FALSE),"")</f>
        <v>0.59</v>
      </c>
      <c r="M329">
        <f>IFERROR(VLOOKUP(BikeData[[#This Row],[Intents]],[1]!Table2[#Data],4,FALSE),"")</f>
        <v>0</v>
      </c>
      <c r="N329">
        <f>IFERROR(VLOOKUP(BikeData[[#This Row],[Intents]],[1]!Table2[#Data],5,FALSE),"")</f>
        <v>1</v>
      </c>
      <c r="O329">
        <f>IFERROR(VLOOKUP(BikeData[[#This Row],[Intents]],[1]!Table2[#Data],6,FALSE),"")</f>
        <v>7</v>
      </c>
      <c r="P329">
        <f>IFERROR(VLOOKUP(BikeData[[#This Row],[Intents]],[1]!Table2[#Data],7,FALSE),"")</f>
        <v>8</v>
      </c>
      <c r="Q329" s="2" t="str">
        <f>CHOOSE(BikeData[[#This Row],[Season]],"Spring","Summer","Fall","Winter")</f>
        <v>Spring</v>
      </c>
      <c r="R329" s="2" t="str">
        <f>CHOOSE(BikeData[[#This Row],[Weathersituation]],"Clear","Mist","Light Rain","Heavy Rain")</f>
        <v>Mist</v>
      </c>
      <c r="S329" s="2" t="str">
        <f>TEXT(BikeData[[#This Row],[Date]],"mmm")</f>
        <v>Jan</v>
      </c>
    </row>
    <row r="330" spans="1:19" x14ac:dyDescent="0.3">
      <c r="A330">
        <v>329</v>
      </c>
      <c r="B330" s="5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 s="6">
        <f>BikeData[[#This Row],[Temperature]]</f>
        <v>0.16</v>
      </c>
      <c r="L330">
        <f>IFERROR(VLOOKUP(BikeData[[#This Row],[Intents]],[1]!Table2[#Data],3,FALSE),"")</f>
        <v>0.59</v>
      </c>
      <c r="M330">
        <f>IFERROR(VLOOKUP(BikeData[[#This Row],[Intents]],[1]!Table2[#Data],4,FALSE),"")</f>
        <v>0</v>
      </c>
      <c r="N330">
        <f>IFERROR(VLOOKUP(BikeData[[#This Row],[Intents]],[1]!Table2[#Data],5,FALSE),"")</f>
        <v>0</v>
      </c>
      <c r="O330">
        <f>IFERROR(VLOOKUP(BikeData[[#This Row],[Intents]],[1]!Table2[#Data],6,FALSE),"")</f>
        <v>5</v>
      </c>
      <c r="P330">
        <f>IFERROR(VLOOKUP(BikeData[[#This Row],[Intents]],[1]!Table2[#Data],7,FALSE),"")</f>
        <v>5</v>
      </c>
      <c r="Q330" s="2" t="str">
        <f>CHOOSE(BikeData[[#This Row],[Season]],"Spring","Summer","Fall","Winter")</f>
        <v>Spring</v>
      </c>
      <c r="R330" s="2" t="str">
        <f>CHOOSE(BikeData[[#This Row],[Weathersituation]],"Clear","Mist","Light Rain","Heavy Rain")</f>
        <v>Mist</v>
      </c>
      <c r="S330" s="2" t="str">
        <f>TEXT(BikeData[[#This Row],[Date]],"mmm")</f>
        <v>Jan</v>
      </c>
    </row>
    <row r="331" spans="1:19" x14ac:dyDescent="0.3">
      <c r="A331">
        <v>330</v>
      </c>
      <c r="B331" s="5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 s="6">
        <f>BikeData[[#This Row],[Temperature]]</f>
        <v>0.16</v>
      </c>
      <c r="L331">
        <f>IFERROR(VLOOKUP(BikeData[[#This Row],[Intents]],[1]!Table2[#Data],3,FALSE),"")</f>
        <v>0.59</v>
      </c>
      <c r="M331">
        <f>IFERROR(VLOOKUP(BikeData[[#This Row],[Intents]],[1]!Table2[#Data],4,FALSE),"")</f>
        <v>0</v>
      </c>
      <c r="N331">
        <f>IFERROR(VLOOKUP(BikeData[[#This Row],[Intents]],[1]!Table2[#Data],5,FALSE),"")</f>
        <v>0</v>
      </c>
      <c r="O331">
        <f>IFERROR(VLOOKUP(BikeData[[#This Row],[Intents]],[1]!Table2[#Data],6,FALSE),"")</f>
        <v>1</v>
      </c>
      <c r="P331">
        <f>IFERROR(VLOOKUP(BikeData[[#This Row],[Intents]],[1]!Table2[#Data],7,FALSE),"")</f>
        <v>1</v>
      </c>
      <c r="Q331" s="2" t="str">
        <f>CHOOSE(BikeData[[#This Row],[Season]],"Spring","Summer","Fall","Winter")</f>
        <v>Spring</v>
      </c>
      <c r="R331" s="2" t="str">
        <f>CHOOSE(BikeData[[#This Row],[Weathersituation]],"Clear","Mist","Light Rain","Heavy Rain")</f>
        <v>Clear</v>
      </c>
      <c r="S331" s="2" t="str">
        <f>TEXT(BikeData[[#This Row],[Date]],"mmm")</f>
        <v>Jan</v>
      </c>
    </row>
    <row r="332" spans="1:19" x14ac:dyDescent="0.3">
      <c r="A332">
        <v>331</v>
      </c>
      <c r="B332" s="5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 s="6">
        <f>BikeData[[#This Row],[Temperature]]</f>
        <v>0.14000000000000001</v>
      </c>
      <c r="L332">
        <f>IFERROR(VLOOKUP(BikeData[[#This Row],[Intents]],[1]!Table2[#Data],3,FALSE),"")</f>
        <v>0.63</v>
      </c>
      <c r="M332">
        <f>IFERROR(VLOOKUP(BikeData[[#This Row],[Intents]],[1]!Table2[#Data],4,FALSE),"")</f>
        <v>0.1045</v>
      </c>
      <c r="N332">
        <f>IFERROR(VLOOKUP(BikeData[[#This Row],[Intents]],[1]!Table2[#Data],5,FALSE),"")</f>
        <v>1</v>
      </c>
      <c r="O332">
        <f>IFERROR(VLOOKUP(BikeData[[#This Row],[Intents]],[1]!Table2[#Data],6,FALSE),"")</f>
        <v>2</v>
      </c>
      <c r="P332">
        <f>IFERROR(VLOOKUP(BikeData[[#This Row],[Intents]],[1]!Table2[#Data],7,FALSE),"")</f>
        <v>3</v>
      </c>
      <c r="Q332" s="2" t="str">
        <f>CHOOSE(BikeData[[#This Row],[Season]],"Spring","Summer","Fall","Winter")</f>
        <v>Spring</v>
      </c>
      <c r="R332" s="2" t="str">
        <f>CHOOSE(BikeData[[#This Row],[Weathersituation]],"Clear","Mist","Light Rain","Heavy Rain")</f>
        <v>Clear</v>
      </c>
      <c r="S332" s="2" t="str">
        <f>TEXT(BikeData[[#This Row],[Date]],"mmm")</f>
        <v>Jan</v>
      </c>
    </row>
    <row r="333" spans="1:19" x14ac:dyDescent="0.3">
      <c r="A333">
        <v>332</v>
      </c>
      <c r="B333" s="5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 s="6">
        <f>BikeData[[#This Row],[Temperature]]</f>
        <v>0.14000000000000001</v>
      </c>
      <c r="L333">
        <f>IFERROR(VLOOKUP(BikeData[[#This Row],[Intents]],[1]!Table2[#Data],3,FALSE),"")</f>
        <v>0.63</v>
      </c>
      <c r="M333">
        <f>IFERROR(VLOOKUP(BikeData[[#This Row],[Intents]],[1]!Table2[#Data],4,FALSE),"")</f>
        <v>0</v>
      </c>
      <c r="N333">
        <f>IFERROR(VLOOKUP(BikeData[[#This Row],[Intents]],[1]!Table2[#Data],5,FALSE),"")</f>
        <v>1</v>
      </c>
      <c r="O333">
        <f>IFERROR(VLOOKUP(BikeData[[#This Row],[Intents]],[1]!Table2[#Data],6,FALSE),"")</f>
        <v>9</v>
      </c>
      <c r="P333">
        <f>IFERROR(VLOOKUP(BikeData[[#This Row],[Intents]],[1]!Table2[#Data],7,FALSE),"")</f>
        <v>10</v>
      </c>
      <c r="Q333" s="2" t="str">
        <f>CHOOSE(BikeData[[#This Row],[Season]],"Spring","Summer","Fall","Winter")</f>
        <v>Spring</v>
      </c>
      <c r="R333" s="2" t="str">
        <f>CHOOSE(BikeData[[#This Row],[Weathersituation]],"Clear","Mist","Light Rain","Heavy Rain")</f>
        <v>Clear</v>
      </c>
      <c r="S333" s="2" t="str">
        <f>TEXT(BikeData[[#This Row],[Date]],"mmm")</f>
        <v>Jan</v>
      </c>
    </row>
    <row r="334" spans="1:19" x14ac:dyDescent="0.3">
      <c r="A334">
        <v>333</v>
      </c>
      <c r="B334" s="5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 s="6">
        <f>BikeData[[#This Row],[Temperature]]</f>
        <v>0.14000000000000001</v>
      </c>
      <c r="L334">
        <f>IFERROR(VLOOKUP(BikeData[[#This Row],[Intents]],[1]!Table2[#Data],3,FALSE),"")</f>
        <v>0.63</v>
      </c>
      <c r="M334">
        <f>IFERROR(VLOOKUP(BikeData[[#This Row],[Intents]],[1]!Table2[#Data],4,FALSE),"")</f>
        <v>0.1343</v>
      </c>
      <c r="N334">
        <f>IFERROR(VLOOKUP(BikeData[[#This Row],[Intents]],[1]!Table2[#Data],5,FALSE),"")</f>
        <v>1</v>
      </c>
      <c r="O334">
        <f>IFERROR(VLOOKUP(BikeData[[#This Row],[Intents]],[1]!Table2[#Data],6,FALSE),"")</f>
        <v>22</v>
      </c>
      <c r="P334">
        <f>IFERROR(VLOOKUP(BikeData[[#This Row],[Intents]],[1]!Table2[#Data],7,FALSE),"")</f>
        <v>23</v>
      </c>
      <c r="Q334" s="2" t="str">
        <f>CHOOSE(BikeData[[#This Row],[Season]],"Spring","Summer","Fall","Winter")</f>
        <v>Spring</v>
      </c>
      <c r="R334" s="2" t="str">
        <f>CHOOSE(BikeData[[#This Row],[Weathersituation]],"Clear","Mist","Light Rain","Heavy Rain")</f>
        <v>Clear</v>
      </c>
      <c r="S334" s="2" t="str">
        <f>TEXT(BikeData[[#This Row],[Date]],"mmm")</f>
        <v>Jan</v>
      </c>
    </row>
    <row r="335" spans="1:19" x14ac:dyDescent="0.3">
      <c r="A335">
        <v>334</v>
      </c>
      <c r="B335" s="5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 s="6">
        <f>BikeData[[#This Row],[Temperature]]</f>
        <v>0.16</v>
      </c>
      <c r="L335">
        <f>IFERROR(VLOOKUP(BikeData[[#This Row],[Intents]],[1]!Table2[#Data],3,FALSE),"")</f>
        <v>0.64</v>
      </c>
      <c r="M335">
        <f>IFERROR(VLOOKUP(BikeData[[#This Row],[Intents]],[1]!Table2[#Data],4,FALSE),"")</f>
        <v>0.1343</v>
      </c>
      <c r="N335">
        <f>IFERROR(VLOOKUP(BikeData[[#This Row],[Intents]],[1]!Table2[#Data],5,FALSE),"")</f>
        <v>2</v>
      </c>
      <c r="O335">
        <f>IFERROR(VLOOKUP(BikeData[[#This Row],[Intents]],[1]!Table2[#Data],6,FALSE),"")</f>
        <v>31</v>
      </c>
      <c r="P335">
        <f>IFERROR(VLOOKUP(BikeData[[#This Row],[Intents]],[1]!Table2[#Data],7,FALSE),"")</f>
        <v>33</v>
      </c>
      <c r="Q335" s="2" t="str">
        <f>CHOOSE(BikeData[[#This Row],[Season]],"Spring","Summer","Fall","Winter")</f>
        <v>Spring</v>
      </c>
      <c r="R335" s="2" t="str">
        <f>CHOOSE(BikeData[[#This Row],[Weathersituation]],"Clear","Mist","Light Rain","Heavy Rain")</f>
        <v>Clear</v>
      </c>
      <c r="S335" s="2" t="str">
        <f>TEXT(BikeData[[#This Row],[Date]],"mmm")</f>
        <v>Jan</v>
      </c>
    </row>
    <row r="336" spans="1:19" x14ac:dyDescent="0.3">
      <c r="A336">
        <v>335</v>
      </c>
      <c r="B336" s="5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 s="6">
        <f>BikeData[[#This Row],[Temperature]]</f>
        <v>0.18</v>
      </c>
      <c r="L336">
        <f>IFERROR(VLOOKUP(BikeData[[#This Row],[Intents]],[1]!Table2[#Data],3,FALSE),"")</f>
        <v>0.59</v>
      </c>
      <c r="M336">
        <f>IFERROR(VLOOKUP(BikeData[[#This Row],[Intents]],[1]!Table2[#Data],4,FALSE),"")</f>
        <v>0.16420000000000001</v>
      </c>
      <c r="N336">
        <f>IFERROR(VLOOKUP(BikeData[[#This Row],[Intents]],[1]!Table2[#Data],5,FALSE),"")</f>
        <v>2</v>
      </c>
      <c r="O336">
        <f>IFERROR(VLOOKUP(BikeData[[#This Row],[Intents]],[1]!Table2[#Data],6,FALSE),"")</f>
        <v>57</v>
      </c>
      <c r="P336">
        <f>IFERROR(VLOOKUP(BikeData[[#This Row],[Intents]],[1]!Table2[#Data],7,FALSE),"")</f>
        <v>59</v>
      </c>
      <c r="Q336" s="2" t="str">
        <f>CHOOSE(BikeData[[#This Row],[Season]],"Spring","Summer","Fall","Winter")</f>
        <v>Spring</v>
      </c>
      <c r="R336" s="2" t="str">
        <f>CHOOSE(BikeData[[#This Row],[Weathersituation]],"Clear","Mist","Light Rain","Heavy Rain")</f>
        <v>Clear</v>
      </c>
      <c r="S336" s="2" t="str">
        <f>TEXT(BikeData[[#This Row],[Date]],"mmm")</f>
        <v>Jan</v>
      </c>
    </row>
    <row r="337" spans="1:19" x14ac:dyDescent="0.3">
      <c r="A337">
        <v>336</v>
      </c>
      <c r="B337" s="5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 s="6">
        <f>BikeData[[#This Row],[Temperature]]</f>
        <v>0.2</v>
      </c>
      <c r="L337">
        <f>IFERROR(VLOOKUP(BikeData[[#This Row],[Intents]],[1]!Table2[#Data],3,FALSE),"")</f>
        <v>0.55000000000000004</v>
      </c>
      <c r="M337">
        <f>IFERROR(VLOOKUP(BikeData[[#This Row],[Intents]],[1]!Table2[#Data],4,FALSE),"")</f>
        <v>0.22389999999999999</v>
      </c>
      <c r="N337">
        <f>IFERROR(VLOOKUP(BikeData[[#This Row],[Intents]],[1]!Table2[#Data],5,FALSE),"")</f>
        <v>18</v>
      </c>
      <c r="O337">
        <f>IFERROR(VLOOKUP(BikeData[[#This Row],[Intents]],[1]!Table2[#Data],6,FALSE),"")</f>
        <v>54</v>
      </c>
      <c r="P337">
        <f>IFERROR(VLOOKUP(BikeData[[#This Row],[Intents]],[1]!Table2[#Data],7,FALSE),"")</f>
        <v>72</v>
      </c>
      <c r="Q337" s="2" t="str">
        <f>CHOOSE(BikeData[[#This Row],[Season]],"Spring","Summer","Fall","Winter")</f>
        <v>Spring</v>
      </c>
      <c r="R337" s="2" t="str">
        <f>CHOOSE(BikeData[[#This Row],[Weathersituation]],"Clear","Mist","Light Rain","Heavy Rain")</f>
        <v>Clear</v>
      </c>
      <c r="S337" s="2" t="str">
        <f>TEXT(BikeData[[#This Row],[Date]],"mmm")</f>
        <v>Jan</v>
      </c>
    </row>
    <row r="338" spans="1:19" x14ac:dyDescent="0.3">
      <c r="A338">
        <v>337</v>
      </c>
      <c r="B338" s="5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 s="6">
        <f>BikeData[[#This Row],[Temperature]]</f>
        <v>0.24</v>
      </c>
      <c r="L338">
        <f>IFERROR(VLOOKUP(BikeData[[#This Row],[Intents]],[1]!Table2[#Data],3,FALSE),"")</f>
        <v>0.48</v>
      </c>
      <c r="M338">
        <f>IFERROR(VLOOKUP(BikeData[[#This Row],[Intents]],[1]!Table2[#Data],4,FALSE),"")</f>
        <v>0.22389999999999999</v>
      </c>
      <c r="N338">
        <f>IFERROR(VLOOKUP(BikeData[[#This Row],[Intents]],[1]!Table2[#Data],5,FALSE),"")</f>
        <v>15</v>
      </c>
      <c r="O338">
        <f>IFERROR(VLOOKUP(BikeData[[#This Row],[Intents]],[1]!Table2[#Data],6,FALSE),"")</f>
        <v>74</v>
      </c>
      <c r="P338">
        <f>IFERROR(VLOOKUP(BikeData[[#This Row],[Intents]],[1]!Table2[#Data],7,FALSE),"")</f>
        <v>89</v>
      </c>
      <c r="Q338" s="2" t="str">
        <f>CHOOSE(BikeData[[#This Row],[Season]],"Spring","Summer","Fall","Winter")</f>
        <v>Spring</v>
      </c>
      <c r="R338" s="2" t="str">
        <f>CHOOSE(BikeData[[#This Row],[Weathersituation]],"Clear","Mist","Light Rain","Heavy Rain")</f>
        <v>Clear</v>
      </c>
      <c r="S338" s="2" t="str">
        <f>TEXT(BikeData[[#This Row],[Date]],"mmm")</f>
        <v>Jan</v>
      </c>
    </row>
    <row r="339" spans="1:19" x14ac:dyDescent="0.3">
      <c r="A339">
        <v>338</v>
      </c>
      <c r="B339" s="5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 s="6">
        <f>BikeData[[#This Row],[Temperature]]</f>
        <v>0.28000000000000003</v>
      </c>
      <c r="L339">
        <f>IFERROR(VLOOKUP(BikeData[[#This Row],[Intents]],[1]!Table2[#Data],3,FALSE),"")</f>
        <v>0.38</v>
      </c>
      <c r="M339">
        <f>IFERROR(VLOOKUP(BikeData[[#This Row],[Intents]],[1]!Table2[#Data],4,FALSE),"")</f>
        <v>0.29849999999999999</v>
      </c>
      <c r="N339">
        <f>IFERROR(VLOOKUP(BikeData[[#This Row],[Intents]],[1]!Table2[#Data],5,FALSE),"")</f>
        <v>21</v>
      </c>
      <c r="O339">
        <f>IFERROR(VLOOKUP(BikeData[[#This Row],[Intents]],[1]!Table2[#Data],6,FALSE),"")</f>
        <v>80</v>
      </c>
      <c r="P339">
        <f>IFERROR(VLOOKUP(BikeData[[#This Row],[Intents]],[1]!Table2[#Data],7,FALSE),"")</f>
        <v>101</v>
      </c>
      <c r="Q339" s="2" t="str">
        <f>CHOOSE(BikeData[[#This Row],[Season]],"Spring","Summer","Fall","Winter")</f>
        <v>Spring</v>
      </c>
      <c r="R339" s="2" t="str">
        <f>CHOOSE(BikeData[[#This Row],[Weathersituation]],"Clear","Mist","Light Rain","Heavy Rain")</f>
        <v>Clear</v>
      </c>
      <c r="S339" s="2" t="str">
        <f>TEXT(BikeData[[#This Row],[Date]],"mmm")</f>
        <v>Jan</v>
      </c>
    </row>
    <row r="340" spans="1:19" x14ac:dyDescent="0.3">
      <c r="A340">
        <v>339</v>
      </c>
      <c r="B340" s="5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 s="6">
        <f>BikeData[[#This Row],[Temperature]]</f>
        <v>0.3</v>
      </c>
      <c r="L340">
        <f>IFERROR(VLOOKUP(BikeData[[#This Row],[Intents]],[1]!Table2[#Data],3,FALSE),"")</f>
        <v>0.39</v>
      </c>
      <c r="M340">
        <f>IFERROR(VLOOKUP(BikeData[[#This Row],[Intents]],[1]!Table2[#Data],4,FALSE),"")</f>
        <v>0.28360000000000002</v>
      </c>
      <c r="N340">
        <f>IFERROR(VLOOKUP(BikeData[[#This Row],[Intents]],[1]!Table2[#Data],5,FALSE),"")</f>
        <v>26</v>
      </c>
      <c r="O340">
        <f>IFERROR(VLOOKUP(BikeData[[#This Row],[Intents]],[1]!Table2[#Data],6,FALSE),"")</f>
        <v>92</v>
      </c>
      <c r="P340">
        <f>IFERROR(VLOOKUP(BikeData[[#This Row],[Intents]],[1]!Table2[#Data],7,FALSE),"")</f>
        <v>118</v>
      </c>
      <c r="Q340" s="2" t="str">
        <f>CHOOSE(BikeData[[#This Row],[Season]],"Spring","Summer","Fall","Winter")</f>
        <v>Spring</v>
      </c>
      <c r="R340" s="2" t="str">
        <f>CHOOSE(BikeData[[#This Row],[Weathersituation]],"Clear","Mist","Light Rain","Heavy Rain")</f>
        <v>Clear</v>
      </c>
      <c r="S340" s="2" t="str">
        <f>TEXT(BikeData[[#This Row],[Date]],"mmm")</f>
        <v>Jan</v>
      </c>
    </row>
    <row r="341" spans="1:19" x14ac:dyDescent="0.3">
      <c r="A341">
        <v>340</v>
      </c>
      <c r="B341" s="5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 s="6">
        <f>BikeData[[#This Row],[Temperature]]</f>
        <v>0.32</v>
      </c>
      <c r="L341">
        <f>IFERROR(VLOOKUP(BikeData[[#This Row],[Intents]],[1]!Table2[#Data],3,FALSE),"")</f>
        <v>0.36</v>
      </c>
      <c r="M341">
        <f>IFERROR(VLOOKUP(BikeData[[#This Row],[Intents]],[1]!Table2[#Data],4,FALSE),"")</f>
        <v>0.19400000000000001</v>
      </c>
      <c r="N341">
        <f>IFERROR(VLOOKUP(BikeData[[#This Row],[Intents]],[1]!Table2[#Data],5,FALSE),"")</f>
        <v>21</v>
      </c>
      <c r="O341">
        <f>IFERROR(VLOOKUP(BikeData[[#This Row],[Intents]],[1]!Table2[#Data],6,FALSE),"")</f>
        <v>108</v>
      </c>
      <c r="P341">
        <f>IFERROR(VLOOKUP(BikeData[[#This Row],[Intents]],[1]!Table2[#Data],7,FALSE),"")</f>
        <v>129</v>
      </c>
      <c r="Q341" s="2" t="str">
        <f>CHOOSE(BikeData[[#This Row],[Season]],"Spring","Summer","Fall","Winter")</f>
        <v>Spring</v>
      </c>
      <c r="R341" s="2" t="str">
        <f>CHOOSE(BikeData[[#This Row],[Weathersituation]],"Clear","Mist","Light Rain","Heavy Rain")</f>
        <v>Mist</v>
      </c>
      <c r="S341" s="2" t="str">
        <f>TEXT(BikeData[[#This Row],[Date]],"mmm")</f>
        <v>Jan</v>
      </c>
    </row>
    <row r="342" spans="1:19" x14ac:dyDescent="0.3">
      <c r="A342">
        <v>341</v>
      </c>
      <c r="B342" s="5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 s="6">
        <f>BikeData[[#This Row],[Temperature]]</f>
        <v>0.34</v>
      </c>
      <c r="L342">
        <f>IFERROR(VLOOKUP(BikeData[[#This Row],[Intents]],[1]!Table2[#Data],3,FALSE),"")</f>
        <v>0.34</v>
      </c>
      <c r="M342">
        <f>IFERROR(VLOOKUP(BikeData[[#This Row],[Intents]],[1]!Table2[#Data],4,FALSE),"")</f>
        <v>0.19400000000000001</v>
      </c>
      <c r="N342">
        <f>IFERROR(VLOOKUP(BikeData[[#This Row],[Intents]],[1]!Table2[#Data],5,FALSE),"")</f>
        <v>33</v>
      </c>
      <c r="O342">
        <f>IFERROR(VLOOKUP(BikeData[[#This Row],[Intents]],[1]!Table2[#Data],6,FALSE),"")</f>
        <v>95</v>
      </c>
      <c r="P342">
        <f>IFERROR(VLOOKUP(BikeData[[#This Row],[Intents]],[1]!Table2[#Data],7,FALSE),"")</f>
        <v>128</v>
      </c>
      <c r="Q342" s="2" t="str">
        <f>CHOOSE(BikeData[[#This Row],[Season]],"Spring","Summer","Fall","Winter")</f>
        <v>Spring</v>
      </c>
      <c r="R342" s="2" t="str">
        <f>CHOOSE(BikeData[[#This Row],[Weathersituation]],"Clear","Mist","Light Rain","Heavy Rain")</f>
        <v>Mist</v>
      </c>
      <c r="S342" s="2" t="str">
        <f>TEXT(BikeData[[#This Row],[Date]],"mmm")</f>
        <v>Jan</v>
      </c>
    </row>
    <row r="343" spans="1:19" x14ac:dyDescent="0.3">
      <c r="A343">
        <v>342</v>
      </c>
      <c r="B343" s="5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 s="6">
        <f>BikeData[[#This Row],[Temperature]]</f>
        <v>0.32</v>
      </c>
      <c r="L343">
        <f>IFERROR(VLOOKUP(BikeData[[#This Row],[Intents]],[1]!Table2[#Data],3,FALSE),"")</f>
        <v>0.36</v>
      </c>
      <c r="M343">
        <f>IFERROR(VLOOKUP(BikeData[[#This Row],[Intents]],[1]!Table2[#Data],4,FALSE),"")</f>
        <v>0.28360000000000002</v>
      </c>
      <c r="N343">
        <f>IFERROR(VLOOKUP(BikeData[[#This Row],[Intents]],[1]!Table2[#Data],5,FALSE),"")</f>
        <v>29</v>
      </c>
      <c r="O343">
        <f>IFERROR(VLOOKUP(BikeData[[#This Row],[Intents]],[1]!Table2[#Data],6,FALSE),"")</f>
        <v>54</v>
      </c>
      <c r="P343">
        <f>IFERROR(VLOOKUP(BikeData[[#This Row],[Intents]],[1]!Table2[#Data],7,FALSE),"")</f>
        <v>83</v>
      </c>
      <c r="Q343" s="2" t="str">
        <f>CHOOSE(BikeData[[#This Row],[Season]],"Spring","Summer","Fall","Winter")</f>
        <v>Spring</v>
      </c>
      <c r="R343" s="2" t="str">
        <f>CHOOSE(BikeData[[#This Row],[Weathersituation]],"Clear","Mist","Light Rain","Heavy Rain")</f>
        <v>Mist</v>
      </c>
      <c r="S343" s="2" t="str">
        <f>TEXT(BikeData[[#This Row],[Date]],"mmm")</f>
        <v>Jan</v>
      </c>
    </row>
    <row r="344" spans="1:19" x14ac:dyDescent="0.3">
      <c r="A344">
        <v>343</v>
      </c>
      <c r="B344" s="5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 s="6">
        <f>BikeData[[#This Row],[Temperature]]</f>
        <v>0.3</v>
      </c>
      <c r="L344">
        <f>IFERROR(VLOOKUP(BikeData[[#This Row],[Intents]],[1]!Table2[#Data],3,FALSE),"")</f>
        <v>0.45</v>
      </c>
      <c r="M344">
        <f>IFERROR(VLOOKUP(BikeData[[#This Row],[Intents]],[1]!Table2[#Data],4,FALSE),"")</f>
        <v>0.25369999999999998</v>
      </c>
      <c r="N344">
        <f>IFERROR(VLOOKUP(BikeData[[#This Row],[Intents]],[1]!Table2[#Data],5,FALSE),"")</f>
        <v>15</v>
      </c>
      <c r="O344">
        <f>IFERROR(VLOOKUP(BikeData[[#This Row],[Intents]],[1]!Table2[#Data],6,FALSE),"")</f>
        <v>69</v>
      </c>
      <c r="P344">
        <f>IFERROR(VLOOKUP(BikeData[[#This Row],[Intents]],[1]!Table2[#Data],7,FALSE),"")</f>
        <v>84</v>
      </c>
      <c r="Q344" s="2" t="str">
        <f>CHOOSE(BikeData[[#This Row],[Season]],"Spring","Summer","Fall","Winter")</f>
        <v>Spring</v>
      </c>
      <c r="R344" s="2" t="str">
        <f>CHOOSE(BikeData[[#This Row],[Weathersituation]],"Clear","Mist","Light Rain","Heavy Rain")</f>
        <v>Mist</v>
      </c>
      <c r="S344" s="2" t="str">
        <f>TEXT(BikeData[[#This Row],[Date]],"mmm")</f>
        <v>Jan</v>
      </c>
    </row>
    <row r="345" spans="1:19" x14ac:dyDescent="0.3">
      <c r="A345">
        <v>344</v>
      </c>
      <c r="B345" s="5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 s="6">
        <f>BikeData[[#This Row],[Temperature]]</f>
        <v>0.32</v>
      </c>
      <c r="L345">
        <f>IFERROR(VLOOKUP(BikeData[[#This Row],[Intents]],[1]!Table2[#Data],3,FALSE),"")</f>
        <v>0.39</v>
      </c>
      <c r="M345">
        <f>IFERROR(VLOOKUP(BikeData[[#This Row],[Intents]],[1]!Table2[#Data],4,FALSE),"")</f>
        <v>0.25369999999999998</v>
      </c>
      <c r="N345">
        <f>IFERROR(VLOOKUP(BikeData[[#This Row],[Intents]],[1]!Table2[#Data],5,FALSE),"")</f>
        <v>14</v>
      </c>
      <c r="O345">
        <f>IFERROR(VLOOKUP(BikeData[[#This Row],[Intents]],[1]!Table2[#Data],6,FALSE),"")</f>
        <v>60</v>
      </c>
      <c r="P345">
        <f>IFERROR(VLOOKUP(BikeData[[#This Row],[Intents]],[1]!Table2[#Data],7,FALSE),"")</f>
        <v>74</v>
      </c>
      <c r="Q345" s="2" t="str">
        <f>CHOOSE(BikeData[[#This Row],[Season]],"Spring","Summer","Fall","Winter")</f>
        <v>Spring</v>
      </c>
      <c r="R345" s="2" t="str">
        <f>CHOOSE(BikeData[[#This Row],[Weathersituation]],"Clear","Mist","Light Rain","Heavy Rain")</f>
        <v>Mist</v>
      </c>
      <c r="S345" s="2" t="str">
        <f>TEXT(BikeData[[#This Row],[Date]],"mmm")</f>
        <v>Jan</v>
      </c>
    </row>
    <row r="346" spans="1:19" x14ac:dyDescent="0.3">
      <c r="A346">
        <v>345</v>
      </c>
      <c r="B346" s="5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 s="6">
        <f>BikeData[[#This Row],[Temperature]]</f>
        <v>0.32</v>
      </c>
      <c r="L346">
        <f>IFERROR(VLOOKUP(BikeData[[#This Row],[Intents]],[1]!Table2[#Data],3,FALSE),"")</f>
        <v>0.39</v>
      </c>
      <c r="M346">
        <f>IFERROR(VLOOKUP(BikeData[[#This Row],[Intents]],[1]!Table2[#Data],4,FALSE),"")</f>
        <v>0.25369999999999998</v>
      </c>
      <c r="N346">
        <f>IFERROR(VLOOKUP(BikeData[[#This Row],[Intents]],[1]!Table2[#Data],5,FALSE),"")</f>
        <v>6</v>
      </c>
      <c r="O346">
        <f>IFERROR(VLOOKUP(BikeData[[#This Row],[Intents]],[1]!Table2[#Data],6,FALSE),"")</f>
        <v>35</v>
      </c>
      <c r="P346">
        <f>IFERROR(VLOOKUP(BikeData[[#This Row],[Intents]],[1]!Table2[#Data],7,FALSE),"")</f>
        <v>41</v>
      </c>
      <c r="Q346" s="2" t="str">
        <f>CHOOSE(BikeData[[#This Row],[Season]],"Spring","Summer","Fall","Winter")</f>
        <v>Spring</v>
      </c>
      <c r="R346" s="2" t="str">
        <f>CHOOSE(BikeData[[#This Row],[Weathersituation]],"Clear","Mist","Light Rain","Heavy Rain")</f>
        <v>Mist</v>
      </c>
      <c r="S346" s="2" t="str">
        <f>TEXT(BikeData[[#This Row],[Date]],"mmm")</f>
        <v>Jan</v>
      </c>
    </row>
    <row r="347" spans="1:19" x14ac:dyDescent="0.3">
      <c r="A347">
        <v>346</v>
      </c>
      <c r="B347" s="5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 s="6">
        <f>BikeData[[#This Row],[Temperature]]</f>
        <v>0.32</v>
      </c>
      <c r="L347">
        <f>IFERROR(VLOOKUP(BikeData[[#This Row],[Intents]],[1]!Table2[#Data],3,FALSE),"")</f>
        <v>0.39</v>
      </c>
      <c r="M347">
        <f>IFERROR(VLOOKUP(BikeData[[#This Row],[Intents]],[1]!Table2[#Data],4,FALSE),"")</f>
        <v>0.22389999999999999</v>
      </c>
      <c r="N347">
        <f>IFERROR(VLOOKUP(BikeData[[#This Row],[Intents]],[1]!Table2[#Data],5,FALSE),"")</f>
        <v>6</v>
      </c>
      <c r="O347">
        <f>IFERROR(VLOOKUP(BikeData[[#This Row],[Intents]],[1]!Table2[#Data],6,FALSE),"")</f>
        <v>51</v>
      </c>
      <c r="P347">
        <f>IFERROR(VLOOKUP(BikeData[[#This Row],[Intents]],[1]!Table2[#Data],7,FALSE),"")</f>
        <v>57</v>
      </c>
      <c r="Q347" s="2" t="str">
        <f>CHOOSE(BikeData[[#This Row],[Season]],"Spring","Summer","Fall","Winter")</f>
        <v>Spring</v>
      </c>
      <c r="R347" s="2" t="str">
        <f>CHOOSE(BikeData[[#This Row],[Weathersituation]],"Clear","Mist","Light Rain","Heavy Rain")</f>
        <v>Mist</v>
      </c>
      <c r="S347" s="2" t="str">
        <f>TEXT(BikeData[[#This Row],[Date]],"mmm")</f>
        <v>Jan</v>
      </c>
    </row>
    <row r="348" spans="1:19" x14ac:dyDescent="0.3">
      <c r="A348">
        <v>347</v>
      </c>
      <c r="B348" s="5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 s="6">
        <f>BikeData[[#This Row],[Temperature]]</f>
        <v>0.3</v>
      </c>
      <c r="L348">
        <f>IFERROR(VLOOKUP(BikeData[[#This Row],[Intents]],[1]!Table2[#Data],3,FALSE),"")</f>
        <v>0.42</v>
      </c>
      <c r="M348">
        <f>IFERROR(VLOOKUP(BikeData[[#This Row],[Intents]],[1]!Table2[#Data],4,FALSE),"")</f>
        <v>0.1045</v>
      </c>
      <c r="N348">
        <f>IFERROR(VLOOKUP(BikeData[[#This Row],[Intents]],[1]!Table2[#Data],5,FALSE),"")</f>
        <v>0</v>
      </c>
      <c r="O348">
        <f>IFERROR(VLOOKUP(BikeData[[#This Row],[Intents]],[1]!Table2[#Data],6,FALSE),"")</f>
        <v>26</v>
      </c>
      <c r="P348">
        <f>IFERROR(VLOOKUP(BikeData[[#This Row],[Intents]],[1]!Table2[#Data],7,FALSE),"")</f>
        <v>26</v>
      </c>
      <c r="Q348" s="2" t="str">
        <f>CHOOSE(BikeData[[#This Row],[Season]],"Spring","Summer","Fall","Winter")</f>
        <v>Spring</v>
      </c>
      <c r="R348" s="2" t="str">
        <f>CHOOSE(BikeData[[#This Row],[Weathersituation]],"Clear","Mist","Light Rain","Heavy Rain")</f>
        <v>Mist</v>
      </c>
      <c r="S348" s="2" t="str">
        <f>TEXT(BikeData[[#This Row],[Date]],"mmm")</f>
        <v>Jan</v>
      </c>
    </row>
    <row r="349" spans="1:19" x14ac:dyDescent="0.3">
      <c r="A349">
        <v>348</v>
      </c>
      <c r="B349" s="5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 s="6">
        <f>BikeData[[#This Row],[Temperature]]</f>
        <v>0.3</v>
      </c>
      <c r="L349">
        <f>IFERROR(VLOOKUP(BikeData[[#This Row],[Intents]],[1]!Table2[#Data],3,FALSE),"")</f>
        <v>0.45</v>
      </c>
      <c r="M349">
        <f>IFERROR(VLOOKUP(BikeData[[#This Row],[Intents]],[1]!Table2[#Data],4,FALSE),"")</f>
        <v>0.28360000000000002</v>
      </c>
      <c r="N349">
        <f>IFERROR(VLOOKUP(BikeData[[#This Row],[Intents]],[1]!Table2[#Data],5,FALSE),"")</f>
        <v>5</v>
      </c>
      <c r="O349">
        <f>IFERROR(VLOOKUP(BikeData[[#This Row],[Intents]],[1]!Table2[#Data],6,FALSE),"")</f>
        <v>39</v>
      </c>
      <c r="P349">
        <f>IFERROR(VLOOKUP(BikeData[[#This Row],[Intents]],[1]!Table2[#Data],7,FALSE),"")</f>
        <v>44</v>
      </c>
      <c r="Q349" s="2" t="str">
        <f>CHOOSE(BikeData[[#This Row],[Season]],"Spring","Summer","Fall","Winter")</f>
        <v>Spring</v>
      </c>
      <c r="R349" s="2" t="str">
        <f>CHOOSE(BikeData[[#This Row],[Weathersituation]],"Clear","Mist","Light Rain","Heavy Rain")</f>
        <v>Clear</v>
      </c>
      <c r="S349" s="2" t="str">
        <f>TEXT(BikeData[[#This Row],[Date]],"mmm")</f>
        <v>Jan</v>
      </c>
    </row>
    <row r="350" spans="1:19" x14ac:dyDescent="0.3">
      <c r="A350">
        <v>349</v>
      </c>
      <c r="B350" s="5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 s="6">
        <f>BikeData[[#This Row],[Temperature]]</f>
        <v>0.26</v>
      </c>
      <c r="L350">
        <f>IFERROR(VLOOKUP(BikeData[[#This Row],[Intents]],[1]!Table2[#Data],3,FALSE),"")</f>
        <v>0.56000000000000005</v>
      </c>
      <c r="M350">
        <f>IFERROR(VLOOKUP(BikeData[[#This Row],[Intents]],[1]!Table2[#Data],4,FALSE),"")</f>
        <v>0</v>
      </c>
      <c r="N350">
        <f>IFERROR(VLOOKUP(BikeData[[#This Row],[Intents]],[1]!Table2[#Data],5,FALSE),"")</f>
        <v>6</v>
      </c>
      <c r="O350">
        <f>IFERROR(VLOOKUP(BikeData[[#This Row],[Intents]],[1]!Table2[#Data],6,FALSE),"")</f>
        <v>33</v>
      </c>
      <c r="P350">
        <f>IFERROR(VLOOKUP(BikeData[[#This Row],[Intents]],[1]!Table2[#Data],7,FALSE),"")</f>
        <v>39</v>
      </c>
      <c r="Q350" s="2" t="str">
        <f>CHOOSE(BikeData[[#This Row],[Season]],"Spring","Summer","Fall","Winter")</f>
        <v>Spring</v>
      </c>
      <c r="R350" s="2" t="str">
        <f>CHOOSE(BikeData[[#This Row],[Weathersituation]],"Clear","Mist","Light Rain","Heavy Rain")</f>
        <v>Clear</v>
      </c>
      <c r="S350" s="2" t="str">
        <f>TEXT(BikeData[[#This Row],[Date]],"mmm")</f>
        <v>Jan</v>
      </c>
    </row>
    <row r="351" spans="1:19" x14ac:dyDescent="0.3">
      <c r="A351">
        <v>350</v>
      </c>
      <c r="B351" s="5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 s="6">
        <f>BikeData[[#This Row],[Temperature]]</f>
        <v>0.26</v>
      </c>
      <c r="L351">
        <f>IFERROR(VLOOKUP(BikeData[[#This Row],[Intents]],[1]!Table2[#Data],3,FALSE),"")</f>
        <v>0.56000000000000005</v>
      </c>
      <c r="M351">
        <f>IFERROR(VLOOKUP(BikeData[[#This Row],[Intents]],[1]!Table2[#Data],4,FALSE),"")</f>
        <v>0.1343</v>
      </c>
      <c r="N351">
        <f>IFERROR(VLOOKUP(BikeData[[#This Row],[Intents]],[1]!Table2[#Data],5,FALSE),"")</f>
        <v>4</v>
      </c>
      <c r="O351">
        <f>IFERROR(VLOOKUP(BikeData[[#This Row],[Intents]],[1]!Table2[#Data],6,FALSE),"")</f>
        <v>19</v>
      </c>
      <c r="P351">
        <f>IFERROR(VLOOKUP(BikeData[[#This Row],[Intents]],[1]!Table2[#Data],7,FALSE),"")</f>
        <v>23</v>
      </c>
      <c r="Q351" s="2" t="str">
        <f>CHOOSE(BikeData[[#This Row],[Season]],"Spring","Summer","Fall","Winter")</f>
        <v>Spring</v>
      </c>
      <c r="R351" s="2" t="str">
        <f>CHOOSE(BikeData[[#This Row],[Weathersituation]],"Clear","Mist","Light Rain","Heavy Rain")</f>
        <v>Clear</v>
      </c>
      <c r="S351" s="2" t="str">
        <f>TEXT(BikeData[[#This Row],[Date]],"mmm")</f>
        <v>Jan</v>
      </c>
    </row>
    <row r="352" spans="1:19" x14ac:dyDescent="0.3">
      <c r="A352">
        <v>351</v>
      </c>
      <c r="B352" s="5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 s="6">
        <f>BikeData[[#This Row],[Temperature]]</f>
        <v>0.26</v>
      </c>
      <c r="L352">
        <f>IFERROR(VLOOKUP(BikeData[[#This Row],[Intents]],[1]!Table2[#Data],3,FALSE),"")</f>
        <v>0.56000000000000005</v>
      </c>
      <c r="M352">
        <f>IFERROR(VLOOKUP(BikeData[[#This Row],[Intents]],[1]!Table2[#Data],4,FALSE),"")</f>
        <v>8.9599999999999999E-2</v>
      </c>
      <c r="N352">
        <f>IFERROR(VLOOKUP(BikeData[[#This Row],[Intents]],[1]!Table2[#Data],5,FALSE),"")</f>
        <v>3</v>
      </c>
      <c r="O352">
        <f>IFERROR(VLOOKUP(BikeData[[#This Row],[Intents]],[1]!Table2[#Data],6,FALSE),"")</f>
        <v>13</v>
      </c>
      <c r="P352">
        <f>IFERROR(VLOOKUP(BikeData[[#This Row],[Intents]],[1]!Table2[#Data],7,FALSE),"")</f>
        <v>16</v>
      </c>
      <c r="Q352" s="2" t="str">
        <f>CHOOSE(BikeData[[#This Row],[Season]],"Spring","Summer","Fall","Winter")</f>
        <v>Spring</v>
      </c>
      <c r="R352" s="2" t="str">
        <f>CHOOSE(BikeData[[#This Row],[Weathersituation]],"Clear","Mist","Light Rain","Heavy Rain")</f>
        <v>Clear</v>
      </c>
      <c r="S352" s="2" t="str">
        <f>TEXT(BikeData[[#This Row],[Date]],"mmm")</f>
        <v>Jan</v>
      </c>
    </row>
    <row r="353" spans="1:19" x14ac:dyDescent="0.3">
      <c r="A353">
        <v>352</v>
      </c>
      <c r="B353" s="5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 s="6">
        <f>BikeData[[#This Row],[Temperature]]</f>
        <v>0.22</v>
      </c>
      <c r="L353">
        <f>IFERROR(VLOOKUP(BikeData[[#This Row],[Intents]],[1]!Table2[#Data],3,FALSE),"")</f>
        <v>0.69</v>
      </c>
      <c r="M353">
        <f>IFERROR(VLOOKUP(BikeData[[#This Row],[Intents]],[1]!Table2[#Data],4,FALSE),"")</f>
        <v>0</v>
      </c>
      <c r="N353">
        <f>IFERROR(VLOOKUP(BikeData[[#This Row],[Intents]],[1]!Table2[#Data],5,FALSE),"")</f>
        <v>9</v>
      </c>
      <c r="O353">
        <f>IFERROR(VLOOKUP(BikeData[[#This Row],[Intents]],[1]!Table2[#Data],6,FALSE),"")</f>
        <v>6</v>
      </c>
      <c r="P353">
        <f>IFERROR(VLOOKUP(BikeData[[#This Row],[Intents]],[1]!Table2[#Data],7,FALSE),"")</f>
        <v>15</v>
      </c>
      <c r="Q353" s="2" t="str">
        <f>CHOOSE(BikeData[[#This Row],[Season]],"Spring","Summer","Fall","Winter")</f>
        <v>Spring</v>
      </c>
      <c r="R353" s="2" t="str">
        <f>CHOOSE(BikeData[[#This Row],[Weathersituation]],"Clear","Mist","Light Rain","Heavy Rain")</f>
        <v>Clear</v>
      </c>
      <c r="S353" s="2" t="str">
        <f>TEXT(BikeData[[#This Row],[Date]],"mmm")</f>
        <v>Jan</v>
      </c>
    </row>
    <row r="354" spans="1:19" x14ac:dyDescent="0.3">
      <c r="A354">
        <v>353</v>
      </c>
      <c r="B354" s="5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 s="6">
        <f>BikeData[[#This Row],[Temperature]]</f>
        <v>0.26</v>
      </c>
      <c r="L354">
        <f>IFERROR(VLOOKUP(BikeData[[#This Row],[Intents]],[1]!Table2[#Data],3,FALSE),"")</f>
        <v>0.56000000000000005</v>
      </c>
      <c r="M354">
        <f>IFERROR(VLOOKUP(BikeData[[#This Row],[Intents]],[1]!Table2[#Data],4,FALSE),"")</f>
        <v>0.16420000000000001</v>
      </c>
      <c r="N354">
        <f>IFERROR(VLOOKUP(BikeData[[#This Row],[Intents]],[1]!Table2[#Data],5,FALSE),"")</f>
        <v>0</v>
      </c>
      <c r="O354">
        <f>IFERROR(VLOOKUP(BikeData[[#This Row],[Intents]],[1]!Table2[#Data],6,FALSE),"")</f>
        <v>1</v>
      </c>
      <c r="P354">
        <f>IFERROR(VLOOKUP(BikeData[[#This Row],[Intents]],[1]!Table2[#Data],7,FALSE),"")</f>
        <v>1</v>
      </c>
      <c r="Q354" s="2" t="str">
        <f>CHOOSE(BikeData[[#This Row],[Season]],"Spring","Summer","Fall","Winter")</f>
        <v>Spring</v>
      </c>
      <c r="R354" s="2" t="str">
        <f>CHOOSE(BikeData[[#This Row],[Weathersituation]],"Clear","Mist","Light Rain","Heavy Rain")</f>
        <v>Clear</v>
      </c>
      <c r="S354" s="2" t="str">
        <f>TEXT(BikeData[[#This Row],[Date]],"mmm")</f>
        <v>Jan</v>
      </c>
    </row>
    <row r="355" spans="1:19" x14ac:dyDescent="0.3">
      <c r="A355">
        <v>354</v>
      </c>
      <c r="B355" s="5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 s="6">
        <f>BikeData[[#This Row],[Temperature]]</f>
        <v>0.26</v>
      </c>
      <c r="L355">
        <f>IFERROR(VLOOKUP(BikeData[[#This Row],[Intents]],[1]!Table2[#Data],3,FALSE),"")</f>
        <v>0.56000000000000005</v>
      </c>
      <c r="M355">
        <f>IFERROR(VLOOKUP(BikeData[[#This Row],[Intents]],[1]!Table2[#Data],4,FALSE),"")</f>
        <v>0.16420000000000001</v>
      </c>
      <c r="N355">
        <f>IFERROR(VLOOKUP(BikeData[[#This Row],[Intents]],[1]!Table2[#Data],5,FALSE),"")</f>
        <v>1</v>
      </c>
      <c r="O355">
        <f>IFERROR(VLOOKUP(BikeData[[#This Row],[Intents]],[1]!Table2[#Data],6,FALSE),"")</f>
        <v>1</v>
      </c>
      <c r="P355">
        <f>IFERROR(VLOOKUP(BikeData[[#This Row],[Intents]],[1]!Table2[#Data],7,FALSE),"")</f>
        <v>2</v>
      </c>
      <c r="Q355" s="2" t="str">
        <f>CHOOSE(BikeData[[#This Row],[Season]],"Spring","Summer","Fall","Winter")</f>
        <v>Spring</v>
      </c>
      <c r="R355" s="2" t="str">
        <f>CHOOSE(BikeData[[#This Row],[Weathersituation]],"Clear","Mist","Light Rain","Heavy Rain")</f>
        <v>Mist</v>
      </c>
      <c r="S355" s="2" t="str">
        <f>TEXT(BikeData[[#This Row],[Date]],"mmm")</f>
        <v>Jan</v>
      </c>
    </row>
    <row r="356" spans="1:19" x14ac:dyDescent="0.3">
      <c r="A356">
        <v>355</v>
      </c>
      <c r="B356" s="5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 s="6">
        <f>BikeData[[#This Row],[Temperature]]</f>
        <v>0.26</v>
      </c>
      <c r="L356">
        <f>IFERROR(VLOOKUP(BikeData[[#This Row],[Intents]],[1]!Table2[#Data],3,FALSE),"")</f>
        <v>0.56000000000000005</v>
      </c>
      <c r="M356">
        <f>IFERROR(VLOOKUP(BikeData[[#This Row],[Intents]],[1]!Table2[#Data],4,FALSE),"")</f>
        <v>0.16420000000000001</v>
      </c>
      <c r="N356">
        <f>IFERROR(VLOOKUP(BikeData[[#This Row],[Intents]],[1]!Table2[#Data],5,FALSE),"")</f>
        <v>0</v>
      </c>
      <c r="O356">
        <f>IFERROR(VLOOKUP(BikeData[[#This Row],[Intents]],[1]!Table2[#Data],6,FALSE),"")</f>
        <v>1</v>
      </c>
      <c r="P356">
        <f>IFERROR(VLOOKUP(BikeData[[#This Row],[Intents]],[1]!Table2[#Data],7,FALSE),"")</f>
        <v>1</v>
      </c>
      <c r="Q356" s="2" t="str">
        <f>CHOOSE(BikeData[[#This Row],[Season]],"Spring","Summer","Fall","Winter")</f>
        <v>Spring</v>
      </c>
      <c r="R356" s="2" t="str">
        <f>CHOOSE(BikeData[[#This Row],[Weathersituation]],"Clear","Mist","Light Rain","Heavy Rain")</f>
        <v>Mist</v>
      </c>
      <c r="S356" s="2" t="str">
        <f>TEXT(BikeData[[#This Row],[Date]],"mmm")</f>
        <v>Jan</v>
      </c>
    </row>
    <row r="357" spans="1:19" x14ac:dyDescent="0.3">
      <c r="A357">
        <v>356</v>
      </c>
      <c r="B357" s="5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 s="6">
        <f>BikeData[[#This Row],[Temperature]]</f>
        <v>0.24</v>
      </c>
      <c r="L357">
        <f>IFERROR(VLOOKUP(BikeData[[#This Row],[Intents]],[1]!Table2[#Data],3,FALSE),"")</f>
        <v>0.56000000000000005</v>
      </c>
      <c r="M357">
        <f>IFERROR(VLOOKUP(BikeData[[#This Row],[Intents]],[1]!Table2[#Data],4,FALSE),"")</f>
        <v>0.29849999999999999</v>
      </c>
      <c r="N357">
        <f>IFERROR(VLOOKUP(BikeData[[#This Row],[Intents]],[1]!Table2[#Data],5,FALSE),"")</f>
        <v>0</v>
      </c>
      <c r="O357">
        <f>IFERROR(VLOOKUP(BikeData[[#This Row],[Intents]],[1]!Table2[#Data],6,FALSE),"")</f>
        <v>3</v>
      </c>
      <c r="P357">
        <f>IFERROR(VLOOKUP(BikeData[[#This Row],[Intents]],[1]!Table2[#Data],7,FALSE),"")</f>
        <v>3</v>
      </c>
      <c r="Q357" s="2" t="str">
        <f>CHOOSE(BikeData[[#This Row],[Season]],"Spring","Summer","Fall","Winter")</f>
        <v>Spring</v>
      </c>
      <c r="R357" s="2" t="str">
        <f>CHOOSE(BikeData[[#This Row],[Weathersituation]],"Clear","Mist","Light Rain","Heavy Rain")</f>
        <v>Mist</v>
      </c>
      <c r="S357" s="2" t="str">
        <f>TEXT(BikeData[[#This Row],[Date]],"mmm")</f>
        <v>Jan</v>
      </c>
    </row>
    <row r="358" spans="1:19" x14ac:dyDescent="0.3">
      <c r="A358">
        <v>357</v>
      </c>
      <c r="B358" s="5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 s="6">
        <f>BikeData[[#This Row],[Temperature]]</f>
        <v>0.22</v>
      </c>
      <c r="L358">
        <f>IFERROR(VLOOKUP(BikeData[[#This Row],[Intents]],[1]!Table2[#Data],3,FALSE),"")</f>
        <v>0.55000000000000004</v>
      </c>
      <c r="M358">
        <f>IFERROR(VLOOKUP(BikeData[[#This Row],[Intents]],[1]!Table2[#Data],4,FALSE),"")</f>
        <v>0.28360000000000002</v>
      </c>
      <c r="N358">
        <f>IFERROR(VLOOKUP(BikeData[[#This Row],[Intents]],[1]!Table2[#Data],5,FALSE),"")</f>
        <v>0</v>
      </c>
      <c r="O358">
        <f>IFERROR(VLOOKUP(BikeData[[#This Row],[Intents]],[1]!Table2[#Data],6,FALSE),"")</f>
        <v>18</v>
      </c>
      <c r="P358">
        <f>IFERROR(VLOOKUP(BikeData[[#This Row],[Intents]],[1]!Table2[#Data],7,FALSE),"")</f>
        <v>18</v>
      </c>
      <c r="Q358" s="2" t="str">
        <f>CHOOSE(BikeData[[#This Row],[Season]],"Spring","Summer","Fall","Winter")</f>
        <v>Spring</v>
      </c>
      <c r="R358" s="2" t="str">
        <f>CHOOSE(BikeData[[#This Row],[Weathersituation]],"Clear","Mist","Light Rain","Heavy Rain")</f>
        <v>Clear</v>
      </c>
      <c r="S358" s="2" t="str">
        <f>TEXT(BikeData[[#This Row],[Date]],"mmm")</f>
        <v>Jan</v>
      </c>
    </row>
    <row r="359" spans="1:19" x14ac:dyDescent="0.3">
      <c r="A359">
        <v>358</v>
      </c>
      <c r="B359" s="5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 s="6">
        <f>BikeData[[#This Row],[Temperature]]</f>
        <v>0.22</v>
      </c>
      <c r="L359">
        <f>IFERROR(VLOOKUP(BikeData[[#This Row],[Intents]],[1]!Table2[#Data],3,FALSE),"")</f>
        <v>0.51</v>
      </c>
      <c r="M359">
        <f>IFERROR(VLOOKUP(BikeData[[#This Row],[Intents]],[1]!Table2[#Data],4,FALSE),"")</f>
        <v>0.25369999999999998</v>
      </c>
      <c r="N359">
        <f>IFERROR(VLOOKUP(BikeData[[#This Row],[Intents]],[1]!Table2[#Data],5,FALSE),"")</f>
        <v>3</v>
      </c>
      <c r="O359">
        <f>IFERROR(VLOOKUP(BikeData[[#This Row],[Intents]],[1]!Table2[#Data],6,FALSE),"")</f>
        <v>29</v>
      </c>
      <c r="P359">
        <f>IFERROR(VLOOKUP(BikeData[[#This Row],[Intents]],[1]!Table2[#Data],7,FALSE),"")</f>
        <v>32</v>
      </c>
      <c r="Q359" s="2" t="str">
        <f>CHOOSE(BikeData[[#This Row],[Season]],"Spring","Summer","Fall","Winter")</f>
        <v>Spring</v>
      </c>
      <c r="R359" s="2" t="str">
        <f>CHOOSE(BikeData[[#This Row],[Weathersituation]],"Clear","Mist","Light Rain","Heavy Rain")</f>
        <v>Clear</v>
      </c>
      <c r="S359" s="2" t="str">
        <f>TEXT(BikeData[[#This Row],[Date]],"mmm")</f>
        <v>Jan</v>
      </c>
    </row>
    <row r="360" spans="1:19" x14ac:dyDescent="0.3">
      <c r="A360">
        <v>359</v>
      </c>
      <c r="B360" s="5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 s="6">
        <f>BikeData[[#This Row],[Temperature]]</f>
        <v>0.22</v>
      </c>
      <c r="L360">
        <f>IFERROR(VLOOKUP(BikeData[[#This Row],[Intents]],[1]!Table2[#Data],3,FALSE),"")</f>
        <v>0.51</v>
      </c>
      <c r="M360">
        <f>IFERROR(VLOOKUP(BikeData[[#This Row],[Intents]],[1]!Table2[#Data],4,FALSE),"")</f>
        <v>0.28360000000000002</v>
      </c>
      <c r="N360">
        <f>IFERROR(VLOOKUP(BikeData[[#This Row],[Intents]],[1]!Table2[#Data],5,FALSE),"")</f>
        <v>8</v>
      </c>
      <c r="O360">
        <f>IFERROR(VLOOKUP(BikeData[[#This Row],[Intents]],[1]!Table2[#Data],6,FALSE),"")</f>
        <v>71</v>
      </c>
      <c r="P360">
        <f>IFERROR(VLOOKUP(BikeData[[#This Row],[Intents]],[1]!Table2[#Data],7,FALSE),"")</f>
        <v>79</v>
      </c>
      <c r="Q360" s="2" t="str">
        <f>CHOOSE(BikeData[[#This Row],[Season]],"Spring","Summer","Fall","Winter")</f>
        <v>Spring</v>
      </c>
      <c r="R360" s="2" t="str">
        <f>CHOOSE(BikeData[[#This Row],[Weathersituation]],"Clear","Mist","Light Rain","Heavy Rain")</f>
        <v>Clear</v>
      </c>
      <c r="S360" s="2" t="str">
        <f>TEXT(BikeData[[#This Row],[Date]],"mmm")</f>
        <v>Jan</v>
      </c>
    </row>
    <row r="361" spans="1:19" x14ac:dyDescent="0.3">
      <c r="A361">
        <v>360</v>
      </c>
      <c r="B361" s="5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 s="6">
        <f>BikeData[[#This Row],[Temperature]]</f>
        <v>0.24</v>
      </c>
      <c r="L361">
        <f>IFERROR(VLOOKUP(BikeData[[#This Row],[Intents]],[1]!Table2[#Data],3,FALSE),"")</f>
        <v>0.44</v>
      </c>
      <c r="M361">
        <f>IFERROR(VLOOKUP(BikeData[[#This Row],[Intents]],[1]!Table2[#Data],4,FALSE),"")</f>
        <v>0.25369999999999998</v>
      </c>
      <c r="N361">
        <f>IFERROR(VLOOKUP(BikeData[[#This Row],[Intents]],[1]!Table2[#Data],5,FALSE),"")</f>
        <v>23</v>
      </c>
      <c r="O361">
        <f>IFERROR(VLOOKUP(BikeData[[#This Row],[Intents]],[1]!Table2[#Data],6,FALSE),"")</f>
        <v>70</v>
      </c>
      <c r="P361">
        <f>IFERROR(VLOOKUP(BikeData[[#This Row],[Intents]],[1]!Table2[#Data],7,FALSE),"")</f>
        <v>93</v>
      </c>
      <c r="Q361" s="2" t="str">
        <f>CHOOSE(BikeData[[#This Row],[Season]],"Spring","Summer","Fall","Winter")</f>
        <v>Spring</v>
      </c>
      <c r="R361" s="2" t="str">
        <f>CHOOSE(BikeData[[#This Row],[Weathersituation]],"Clear","Mist","Light Rain","Heavy Rain")</f>
        <v>Clear</v>
      </c>
      <c r="S361" s="2" t="str">
        <f>TEXT(BikeData[[#This Row],[Date]],"mmm")</f>
        <v>Jan</v>
      </c>
    </row>
    <row r="362" spans="1:19" x14ac:dyDescent="0.3">
      <c r="A362">
        <v>361</v>
      </c>
      <c r="B362" s="5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 s="6">
        <f>BikeData[[#This Row],[Temperature]]</f>
        <v>0.24</v>
      </c>
      <c r="L362">
        <f>IFERROR(VLOOKUP(BikeData[[#This Row],[Intents]],[1]!Table2[#Data],3,FALSE),"")</f>
        <v>0.41</v>
      </c>
      <c r="M362">
        <f>IFERROR(VLOOKUP(BikeData[[#This Row],[Intents]],[1]!Table2[#Data],4,FALSE),"")</f>
        <v>0.28360000000000002</v>
      </c>
      <c r="N362">
        <f>IFERROR(VLOOKUP(BikeData[[#This Row],[Intents]],[1]!Table2[#Data],5,FALSE),"")</f>
        <v>29</v>
      </c>
      <c r="O362">
        <f>IFERROR(VLOOKUP(BikeData[[#This Row],[Intents]],[1]!Table2[#Data],6,FALSE),"")</f>
        <v>75</v>
      </c>
      <c r="P362">
        <f>IFERROR(VLOOKUP(BikeData[[#This Row],[Intents]],[1]!Table2[#Data],7,FALSE),"")</f>
        <v>104</v>
      </c>
      <c r="Q362" s="2" t="str">
        <f>CHOOSE(BikeData[[#This Row],[Season]],"Spring","Summer","Fall","Winter")</f>
        <v>Spring</v>
      </c>
      <c r="R362" s="2" t="str">
        <f>CHOOSE(BikeData[[#This Row],[Weathersituation]],"Clear","Mist","Light Rain","Heavy Rain")</f>
        <v>Clear</v>
      </c>
      <c r="S362" s="2" t="str">
        <f>TEXT(BikeData[[#This Row],[Date]],"mmm")</f>
        <v>Jan</v>
      </c>
    </row>
    <row r="363" spans="1:19" x14ac:dyDescent="0.3">
      <c r="A363">
        <v>362</v>
      </c>
      <c r="B363" s="5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 s="6">
        <f>BikeData[[#This Row],[Temperature]]</f>
        <v>0.26</v>
      </c>
      <c r="L363">
        <f>IFERROR(VLOOKUP(BikeData[[#This Row],[Intents]],[1]!Table2[#Data],3,FALSE),"")</f>
        <v>0.35</v>
      </c>
      <c r="M363">
        <f>IFERROR(VLOOKUP(BikeData[[#This Row],[Intents]],[1]!Table2[#Data],4,FALSE),"")</f>
        <v>0.29849999999999999</v>
      </c>
      <c r="N363">
        <f>IFERROR(VLOOKUP(BikeData[[#This Row],[Intents]],[1]!Table2[#Data],5,FALSE),"")</f>
        <v>23</v>
      </c>
      <c r="O363">
        <f>IFERROR(VLOOKUP(BikeData[[#This Row],[Intents]],[1]!Table2[#Data],6,FALSE),"")</f>
        <v>95</v>
      </c>
      <c r="P363">
        <f>IFERROR(VLOOKUP(BikeData[[#This Row],[Intents]],[1]!Table2[#Data],7,FALSE),"")</f>
        <v>118</v>
      </c>
      <c r="Q363" s="2" t="str">
        <f>CHOOSE(BikeData[[#This Row],[Season]],"Spring","Summer","Fall","Winter")</f>
        <v>Spring</v>
      </c>
      <c r="R363" s="2" t="str">
        <f>CHOOSE(BikeData[[#This Row],[Weathersituation]],"Clear","Mist","Light Rain","Heavy Rain")</f>
        <v>Clear</v>
      </c>
      <c r="S363" s="2" t="str">
        <f>TEXT(BikeData[[#This Row],[Date]],"mmm")</f>
        <v>Jan</v>
      </c>
    </row>
    <row r="364" spans="1:19" x14ac:dyDescent="0.3">
      <c r="A364">
        <v>363</v>
      </c>
      <c r="B364" s="5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 s="6">
        <f>BikeData[[#This Row],[Temperature]]</f>
        <v>0.28000000000000003</v>
      </c>
      <c r="L364">
        <f>IFERROR(VLOOKUP(BikeData[[#This Row],[Intents]],[1]!Table2[#Data],3,FALSE),"")</f>
        <v>0.36</v>
      </c>
      <c r="M364">
        <f>IFERROR(VLOOKUP(BikeData[[#This Row],[Intents]],[1]!Table2[#Data],4,FALSE),"")</f>
        <v>0.25369999999999998</v>
      </c>
      <c r="N364">
        <f>IFERROR(VLOOKUP(BikeData[[#This Row],[Intents]],[1]!Table2[#Data],5,FALSE),"")</f>
        <v>22</v>
      </c>
      <c r="O364">
        <f>IFERROR(VLOOKUP(BikeData[[#This Row],[Intents]],[1]!Table2[#Data],6,FALSE),"")</f>
        <v>69</v>
      </c>
      <c r="P364">
        <f>IFERROR(VLOOKUP(BikeData[[#This Row],[Intents]],[1]!Table2[#Data],7,FALSE),"")</f>
        <v>91</v>
      </c>
      <c r="Q364" s="2" t="str">
        <f>CHOOSE(BikeData[[#This Row],[Season]],"Spring","Summer","Fall","Winter")</f>
        <v>Spring</v>
      </c>
      <c r="R364" s="2" t="str">
        <f>CHOOSE(BikeData[[#This Row],[Weathersituation]],"Clear","Mist","Light Rain","Heavy Rain")</f>
        <v>Clear</v>
      </c>
      <c r="S364" s="2" t="str">
        <f>TEXT(BikeData[[#This Row],[Date]],"mmm")</f>
        <v>Jan</v>
      </c>
    </row>
    <row r="365" spans="1:19" x14ac:dyDescent="0.3">
      <c r="A365">
        <v>364</v>
      </c>
      <c r="B365" s="5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 s="6">
        <f>BikeData[[#This Row],[Temperature]]</f>
        <v>0.26</v>
      </c>
      <c r="L365">
        <f>IFERROR(VLOOKUP(BikeData[[#This Row],[Intents]],[1]!Table2[#Data],3,FALSE),"")</f>
        <v>0.38</v>
      </c>
      <c r="M365">
        <f>IFERROR(VLOOKUP(BikeData[[#This Row],[Intents]],[1]!Table2[#Data],4,FALSE),"")</f>
        <v>0.25369999999999998</v>
      </c>
      <c r="N365">
        <f>IFERROR(VLOOKUP(BikeData[[#This Row],[Intents]],[1]!Table2[#Data],5,FALSE),"")</f>
        <v>35</v>
      </c>
      <c r="O365">
        <f>IFERROR(VLOOKUP(BikeData[[#This Row],[Intents]],[1]!Table2[#Data],6,FALSE),"")</f>
        <v>78</v>
      </c>
      <c r="P365">
        <f>IFERROR(VLOOKUP(BikeData[[#This Row],[Intents]],[1]!Table2[#Data],7,FALSE),"")</f>
        <v>113</v>
      </c>
      <c r="Q365" s="2" t="str">
        <f>CHOOSE(BikeData[[#This Row],[Season]],"Spring","Summer","Fall","Winter")</f>
        <v>Spring</v>
      </c>
      <c r="R365" s="2" t="str">
        <f>CHOOSE(BikeData[[#This Row],[Weathersituation]],"Clear","Mist","Light Rain","Heavy Rain")</f>
        <v>Clear</v>
      </c>
      <c r="S365" s="2" t="str">
        <f>TEXT(BikeData[[#This Row],[Date]],"mmm")</f>
        <v>Jan</v>
      </c>
    </row>
    <row r="366" spans="1:19" x14ac:dyDescent="0.3">
      <c r="A366">
        <v>365</v>
      </c>
      <c r="B366" s="5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 s="6">
        <f>BikeData[[#This Row],[Temperature]]</f>
        <v>0.24</v>
      </c>
      <c r="L366">
        <f>IFERROR(VLOOKUP(BikeData[[#This Row],[Intents]],[1]!Table2[#Data],3,FALSE),"")</f>
        <v>0.38</v>
      </c>
      <c r="M366">
        <f>IFERROR(VLOOKUP(BikeData[[#This Row],[Intents]],[1]!Table2[#Data],4,FALSE),"")</f>
        <v>0.22389999999999999</v>
      </c>
      <c r="N366">
        <f>IFERROR(VLOOKUP(BikeData[[#This Row],[Intents]],[1]!Table2[#Data],5,FALSE),"")</f>
        <v>22</v>
      </c>
      <c r="O366">
        <f>IFERROR(VLOOKUP(BikeData[[#This Row],[Intents]],[1]!Table2[#Data],6,FALSE),"")</f>
        <v>77</v>
      </c>
      <c r="P366">
        <f>IFERROR(VLOOKUP(BikeData[[#This Row],[Intents]],[1]!Table2[#Data],7,FALSE),"")</f>
        <v>99</v>
      </c>
      <c r="Q366" s="2" t="str">
        <f>CHOOSE(BikeData[[#This Row],[Season]],"Spring","Summer","Fall","Winter")</f>
        <v>Spring</v>
      </c>
      <c r="R366" s="2" t="str">
        <f>CHOOSE(BikeData[[#This Row],[Weathersituation]],"Clear","Mist","Light Rain","Heavy Rain")</f>
        <v>Clear</v>
      </c>
      <c r="S366" s="2" t="str">
        <f>TEXT(BikeData[[#This Row],[Date]],"mmm")</f>
        <v>Jan</v>
      </c>
    </row>
    <row r="367" spans="1:19" x14ac:dyDescent="0.3">
      <c r="A367">
        <v>366</v>
      </c>
      <c r="B367" s="5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 s="6">
        <f>BikeData[[#This Row],[Temperature]]</f>
        <v>0.22</v>
      </c>
      <c r="L367">
        <f>IFERROR(VLOOKUP(BikeData[[#This Row],[Intents]],[1]!Table2[#Data],3,FALSE),"")</f>
        <v>0.37</v>
      </c>
      <c r="M367">
        <f>IFERROR(VLOOKUP(BikeData[[#This Row],[Intents]],[1]!Table2[#Data],4,FALSE),"")</f>
        <v>0.25369999999999998</v>
      </c>
      <c r="N367">
        <f>IFERROR(VLOOKUP(BikeData[[#This Row],[Intents]],[1]!Table2[#Data],5,FALSE),"")</f>
        <v>23</v>
      </c>
      <c r="O367">
        <f>IFERROR(VLOOKUP(BikeData[[#This Row],[Intents]],[1]!Table2[#Data],6,FALSE),"")</f>
        <v>82</v>
      </c>
      <c r="P367">
        <f>IFERROR(VLOOKUP(BikeData[[#This Row],[Intents]],[1]!Table2[#Data],7,FALSE),"")</f>
        <v>105</v>
      </c>
      <c r="Q367" s="2" t="str">
        <f>CHOOSE(BikeData[[#This Row],[Season]],"Spring","Summer","Fall","Winter")</f>
        <v>Spring</v>
      </c>
      <c r="R367" s="2" t="str">
        <f>CHOOSE(BikeData[[#This Row],[Weathersituation]],"Clear","Mist","Light Rain","Heavy Rain")</f>
        <v>Clear</v>
      </c>
      <c r="S367" s="2" t="str">
        <f>TEXT(BikeData[[#This Row],[Date]],"mmm")</f>
        <v>Jan</v>
      </c>
    </row>
    <row r="368" spans="1:19" x14ac:dyDescent="0.3">
      <c r="A368">
        <v>367</v>
      </c>
      <c r="B368" s="5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 s="6">
        <f>BikeData[[#This Row],[Temperature]]</f>
        <v>0.2</v>
      </c>
      <c r="L368">
        <f>IFERROR(VLOOKUP(BikeData[[#This Row],[Intents]],[1]!Table2[#Data],3,FALSE),"")</f>
        <v>0.4</v>
      </c>
      <c r="M368">
        <f>IFERROR(VLOOKUP(BikeData[[#This Row],[Intents]],[1]!Table2[#Data],4,FALSE),"")</f>
        <v>0.16420000000000001</v>
      </c>
      <c r="N368">
        <f>IFERROR(VLOOKUP(BikeData[[#This Row],[Intents]],[1]!Table2[#Data],5,FALSE),"")</f>
        <v>11</v>
      </c>
      <c r="O368">
        <f>IFERROR(VLOOKUP(BikeData[[#This Row],[Intents]],[1]!Table2[#Data],6,FALSE),"")</f>
        <v>56</v>
      </c>
      <c r="P368">
        <f>IFERROR(VLOOKUP(BikeData[[#This Row],[Intents]],[1]!Table2[#Data],7,FALSE),"")</f>
        <v>67</v>
      </c>
      <c r="Q368" s="2" t="str">
        <f>CHOOSE(BikeData[[#This Row],[Season]],"Spring","Summer","Fall","Winter")</f>
        <v>Spring</v>
      </c>
      <c r="R368" s="2" t="str">
        <f>CHOOSE(BikeData[[#This Row],[Weathersituation]],"Clear","Mist","Light Rain","Heavy Rain")</f>
        <v>Clear</v>
      </c>
      <c r="S368" s="2" t="str">
        <f>TEXT(BikeData[[#This Row],[Date]],"mmm")</f>
        <v>Jan</v>
      </c>
    </row>
    <row r="369" spans="1:19" x14ac:dyDescent="0.3">
      <c r="A369">
        <v>368</v>
      </c>
      <c r="B369" s="5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 s="6">
        <f>BikeData[[#This Row],[Temperature]]</f>
        <v>0.18</v>
      </c>
      <c r="L369">
        <f>IFERROR(VLOOKUP(BikeData[[#This Row],[Intents]],[1]!Table2[#Data],3,FALSE),"")</f>
        <v>0.47</v>
      </c>
      <c r="M369">
        <f>IFERROR(VLOOKUP(BikeData[[#This Row],[Intents]],[1]!Table2[#Data],4,FALSE),"")</f>
        <v>0.1343</v>
      </c>
      <c r="N369">
        <f>IFERROR(VLOOKUP(BikeData[[#This Row],[Intents]],[1]!Table2[#Data],5,FALSE),"")</f>
        <v>14</v>
      </c>
      <c r="O369">
        <f>IFERROR(VLOOKUP(BikeData[[#This Row],[Intents]],[1]!Table2[#Data],6,FALSE),"")</f>
        <v>47</v>
      </c>
      <c r="P369">
        <f>IFERROR(VLOOKUP(BikeData[[#This Row],[Intents]],[1]!Table2[#Data],7,FALSE),"")</f>
        <v>61</v>
      </c>
      <c r="Q369" s="2" t="str">
        <f>CHOOSE(BikeData[[#This Row],[Season]],"Spring","Summer","Fall","Winter")</f>
        <v>Spring</v>
      </c>
      <c r="R369" s="2" t="str">
        <f>CHOOSE(BikeData[[#This Row],[Weathersituation]],"Clear","Mist","Light Rain","Heavy Rain")</f>
        <v>Clear</v>
      </c>
      <c r="S369" s="2" t="str">
        <f>TEXT(BikeData[[#This Row],[Date]],"mmm")</f>
        <v>Jan</v>
      </c>
    </row>
    <row r="370" spans="1:19" x14ac:dyDescent="0.3">
      <c r="A370">
        <v>369</v>
      </c>
      <c r="B370" s="5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 s="6">
        <f>BikeData[[#This Row],[Temperature]]</f>
        <v>0.18</v>
      </c>
      <c r="L370">
        <f>IFERROR(VLOOKUP(BikeData[[#This Row],[Intents]],[1]!Table2[#Data],3,FALSE),"")</f>
        <v>0.47</v>
      </c>
      <c r="M370">
        <f>IFERROR(VLOOKUP(BikeData[[#This Row],[Intents]],[1]!Table2[#Data],4,FALSE),"")</f>
        <v>0.16420000000000001</v>
      </c>
      <c r="N370">
        <f>IFERROR(VLOOKUP(BikeData[[#This Row],[Intents]],[1]!Table2[#Data],5,FALSE),"")</f>
        <v>7</v>
      </c>
      <c r="O370">
        <f>IFERROR(VLOOKUP(BikeData[[#This Row],[Intents]],[1]!Table2[#Data],6,FALSE),"")</f>
        <v>50</v>
      </c>
      <c r="P370">
        <f>IFERROR(VLOOKUP(BikeData[[#This Row],[Intents]],[1]!Table2[#Data],7,FALSE),"")</f>
        <v>57</v>
      </c>
      <c r="Q370" s="2" t="str">
        <f>CHOOSE(BikeData[[#This Row],[Season]],"Spring","Summer","Fall","Winter")</f>
        <v>Spring</v>
      </c>
      <c r="R370" s="2" t="str">
        <f>CHOOSE(BikeData[[#This Row],[Weathersituation]],"Clear","Mist","Light Rain","Heavy Rain")</f>
        <v>Clear</v>
      </c>
      <c r="S370" s="2" t="str">
        <f>TEXT(BikeData[[#This Row],[Date]],"mmm")</f>
        <v>Jan</v>
      </c>
    </row>
    <row r="371" spans="1:19" x14ac:dyDescent="0.3">
      <c r="A371">
        <v>370</v>
      </c>
      <c r="B371" s="5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 s="6">
        <f>BikeData[[#This Row],[Temperature]]</f>
        <v>0.18</v>
      </c>
      <c r="L371">
        <f>IFERROR(VLOOKUP(BikeData[[#This Row],[Intents]],[1]!Table2[#Data],3,FALSE),"")</f>
        <v>0.51</v>
      </c>
      <c r="M371">
        <f>IFERROR(VLOOKUP(BikeData[[#This Row],[Intents]],[1]!Table2[#Data],4,FALSE),"")</f>
        <v>0.16420000000000001</v>
      </c>
      <c r="N371">
        <f>IFERROR(VLOOKUP(BikeData[[#This Row],[Intents]],[1]!Table2[#Data],5,FALSE),"")</f>
        <v>6</v>
      </c>
      <c r="O371">
        <f>IFERROR(VLOOKUP(BikeData[[#This Row],[Intents]],[1]!Table2[#Data],6,FALSE),"")</f>
        <v>22</v>
      </c>
      <c r="P371">
        <f>IFERROR(VLOOKUP(BikeData[[#This Row],[Intents]],[1]!Table2[#Data],7,FALSE),"")</f>
        <v>28</v>
      </c>
      <c r="Q371" s="2" t="str">
        <f>CHOOSE(BikeData[[#This Row],[Season]],"Spring","Summer","Fall","Winter")</f>
        <v>Spring</v>
      </c>
      <c r="R371" s="2" t="str">
        <f>CHOOSE(BikeData[[#This Row],[Weathersituation]],"Clear","Mist","Light Rain","Heavy Rain")</f>
        <v>Clear</v>
      </c>
      <c r="S371" s="2" t="str">
        <f>TEXT(BikeData[[#This Row],[Date]],"mmm")</f>
        <v>Jan</v>
      </c>
    </row>
    <row r="372" spans="1:19" x14ac:dyDescent="0.3">
      <c r="A372">
        <v>371</v>
      </c>
      <c r="B372" s="5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 s="6">
        <f>BikeData[[#This Row],[Temperature]]</f>
        <v>0.2</v>
      </c>
      <c r="L372">
        <f>IFERROR(VLOOKUP(BikeData[[#This Row],[Intents]],[1]!Table2[#Data],3,FALSE),"")</f>
        <v>0.49</v>
      </c>
      <c r="M372">
        <f>IFERROR(VLOOKUP(BikeData[[#This Row],[Intents]],[1]!Table2[#Data],4,FALSE),"")</f>
        <v>0.1343</v>
      </c>
      <c r="N372">
        <f>IFERROR(VLOOKUP(BikeData[[#This Row],[Intents]],[1]!Table2[#Data],5,FALSE),"")</f>
        <v>2</v>
      </c>
      <c r="O372">
        <f>IFERROR(VLOOKUP(BikeData[[#This Row],[Intents]],[1]!Table2[#Data],6,FALSE),"")</f>
        <v>19</v>
      </c>
      <c r="P372">
        <f>IFERROR(VLOOKUP(BikeData[[#This Row],[Intents]],[1]!Table2[#Data],7,FALSE),"")</f>
        <v>21</v>
      </c>
      <c r="Q372" s="2" t="str">
        <f>CHOOSE(BikeData[[#This Row],[Season]],"Spring","Summer","Fall","Winter")</f>
        <v>Spring</v>
      </c>
      <c r="R372" s="2" t="str">
        <f>CHOOSE(BikeData[[#This Row],[Weathersituation]],"Clear","Mist","Light Rain","Heavy Rain")</f>
        <v>Mist</v>
      </c>
      <c r="S372" s="2" t="str">
        <f>TEXT(BikeData[[#This Row],[Date]],"mmm")</f>
        <v>Jan</v>
      </c>
    </row>
    <row r="373" spans="1:19" x14ac:dyDescent="0.3">
      <c r="A373">
        <v>372</v>
      </c>
      <c r="B373" s="5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 s="6">
        <f>BikeData[[#This Row],[Temperature]]</f>
        <v>0.2</v>
      </c>
      <c r="L373">
        <f>IFERROR(VLOOKUP(BikeData[[#This Row],[Intents]],[1]!Table2[#Data],3,FALSE),"")</f>
        <v>0.4</v>
      </c>
      <c r="M373">
        <f>IFERROR(VLOOKUP(BikeData[[#This Row],[Intents]],[1]!Table2[#Data],4,FALSE),"")</f>
        <v>0.1045</v>
      </c>
      <c r="N373">
        <f>IFERROR(VLOOKUP(BikeData[[#This Row],[Intents]],[1]!Table2[#Data],5,FALSE),"")</f>
        <v>0</v>
      </c>
      <c r="O373">
        <f>IFERROR(VLOOKUP(BikeData[[#This Row],[Intents]],[1]!Table2[#Data],6,FALSE),"")</f>
        <v>18</v>
      </c>
      <c r="P373">
        <f>IFERROR(VLOOKUP(BikeData[[#This Row],[Intents]],[1]!Table2[#Data],7,FALSE),"")</f>
        <v>18</v>
      </c>
      <c r="Q373" s="2" t="str">
        <f>CHOOSE(BikeData[[#This Row],[Season]],"Spring","Summer","Fall","Winter")</f>
        <v>Spring</v>
      </c>
      <c r="R373" s="2" t="str">
        <f>CHOOSE(BikeData[[#This Row],[Weathersituation]],"Clear","Mist","Light Rain","Heavy Rain")</f>
        <v>Mist</v>
      </c>
      <c r="S373" s="2" t="str">
        <f>TEXT(BikeData[[#This Row],[Date]],"mmm")</f>
        <v>Jan</v>
      </c>
    </row>
    <row r="374" spans="1:19" x14ac:dyDescent="0.3">
      <c r="A374">
        <v>373</v>
      </c>
      <c r="B374" s="5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 s="6">
        <f>BikeData[[#This Row],[Temperature]]</f>
        <v>0.2</v>
      </c>
      <c r="L374">
        <f>IFERROR(VLOOKUP(BikeData[[#This Row],[Intents]],[1]!Table2[#Data],3,FALSE),"")</f>
        <v>0.47</v>
      </c>
      <c r="M374">
        <f>IFERROR(VLOOKUP(BikeData[[#This Row],[Intents]],[1]!Table2[#Data],4,FALSE),"")</f>
        <v>0.22389999999999999</v>
      </c>
      <c r="N374">
        <f>IFERROR(VLOOKUP(BikeData[[#This Row],[Intents]],[1]!Table2[#Data],5,FALSE),"")</f>
        <v>1</v>
      </c>
      <c r="O374">
        <f>IFERROR(VLOOKUP(BikeData[[#This Row],[Intents]],[1]!Table2[#Data],6,FALSE),"")</f>
        <v>16</v>
      </c>
      <c r="P374">
        <f>IFERROR(VLOOKUP(BikeData[[#This Row],[Intents]],[1]!Table2[#Data],7,FALSE),"")</f>
        <v>17</v>
      </c>
      <c r="Q374" s="2" t="str">
        <f>CHOOSE(BikeData[[#This Row],[Season]],"Spring","Summer","Fall","Winter")</f>
        <v>Spring</v>
      </c>
      <c r="R374" s="2" t="str">
        <f>CHOOSE(BikeData[[#This Row],[Weathersituation]],"Clear","Mist","Light Rain","Heavy Rain")</f>
        <v>Mist</v>
      </c>
      <c r="S374" s="2" t="str">
        <f>TEXT(BikeData[[#This Row],[Date]],"mmm")</f>
        <v>Jan</v>
      </c>
    </row>
    <row r="375" spans="1:19" x14ac:dyDescent="0.3">
      <c r="A375">
        <v>374</v>
      </c>
      <c r="B375" s="5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 s="6">
        <f>BikeData[[#This Row],[Temperature]]</f>
        <v>0.2</v>
      </c>
      <c r="L375">
        <f>IFERROR(VLOOKUP(BikeData[[#This Row],[Intents]],[1]!Table2[#Data],3,FALSE),"")</f>
        <v>0.44</v>
      </c>
      <c r="M375">
        <f>IFERROR(VLOOKUP(BikeData[[#This Row],[Intents]],[1]!Table2[#Data],4,FALSE),"")</f>
        <v>0.19400000000000001</v>
      </c>
      <c r="N375">
        <f>IFERROR(VLOOKUP(BikeData[[#This Row],[Intents]],[1]!Table2[#Data],5,FALSE),"")</f>
        <v>1</v>
      </c>
      <c r="O375">
        <f>IFERROR(VLOOKUP(BikeData[[#This Row],[Intents]],[1]!Table2[#Data],6,FALSE),"")</f>
        <v>15</v>
      </c>
      <c r="P375">
        <f>IFERROR(VLOOKUP(BikeData[[#This Row],[Intents]],[1]!Table2[#Data],7,FALSE),"")</f>
        <v>16</v>
      </c>
      <c r="Q375" s="2" t="str">
        <f>CHOOSE(BikeData[[#This Row],[Season]],"Spring","Summer","Fall","Winter")</f>
        <v>Spring</v>
      </c>
      <c r="R375" s="2" t="str">
        <f>CHOOSE(BikeData[[#This Row],[Weathersituation]],"Clear","Mist","Light Rain","Heavy Rain")</f>
        <v>Mist</v>
      </c>
      <c r="S375" s="2" t="str">
        <f>TEXT(BikeData[[#This Row],[Date]],"mmm")</f>
        <v>Jan</v>
      </c>
    </row>
    <row r="376" spans="1:19" x14ac:dyDescent="0.3">
      <c r="A376">
        <v>375</v>
      </c>
      <c r="B376" s="5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 s="6">
        <f>BikeData[[#This Row],[Temperature]]</f>
        <v>0.18</v>
      </c>
      <c r="L376">
        <f>IFERROR(VLOOKUP(BikeData[[#This Row],[Intents]],[1]!Table2[#Data],3,FALSE),"")</f>
        <v>0.43</v>
      </c>
      <c r="M376">
        <f>IFERROR(VLOOKUP(BikeData[[#This Row],[Intents]],[1]!Table2[#Data],4,FALSE),"")</f>
        <v>0.25369999999999998</v>
      </c>
      <c r="N376">
        <f>IFERROR(VLOOKUP(BikeData[[#This Row],[Intents]],[1]!Table2[#Data],5,FALSE),"")</f>
        <v>0</v>
      </c>
      <c r="O376">
        <f>IFERROR(VLOOKUP(BikeData[[#This Row],[Intents]],[1]!Table2[#Data],6,FALSE),"")</f>
        <v>8</v>
      </c>
      <c r="P376">
        <f>IFERROR(VLOOKUP(BikeData[[#This Row],[Intents]],[1]!Table2[#Data],7,FALSE),"")</f>
        <v>8</v>
      </c>
      <c r="Q376" s="2" t="str">
        <f>CHOOSE(BikeData[[#This Row],[Season]],"Spring","Summer","Fall","Winter")</f>
        <v>Spring</v>
      </c>
      <c r="R376" s="2" t="str">
        <f>CHOOSE(BikeData[[#This Row],[Weathersituation]],"Clear","Mist","Light Rain","Heavy Rain")</f>
        <v>Mist</v>
      </c>
      <c r="S376" s="2" t="str">
        <f>TEXT(BikeData[[#This Row],[Date]],"mmm")</f>
        <v>Jan</v>
      </c>
    </row>
    <row r="377" spans="1:19" x14ac:dyDescent="0.3">
      <c r="A377">
        <v>376</v>
      </c>
      <c r="B377" s="5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 s="6">
        <f>BikeData[[#This Row],[Temperature]]</f>
        <v>0.18</v>
      </c>
      <c r="L377">
        <f>IFERROR(VLOOKUP(BikeData[[#This Row],[Intents]],[1]!Table2[#Data],3,FALSE),"")</f>
        <v>0.43</v>
      </c>
      <c r="M377">
        <f>IFERROR(VLOOKUP(BikeData[[#This Row],[Intents]],[1]!Table2[#Data],4,FALSE),"")</f>
        <v>0.19400000000000001</v>
      </c>
      <c r="N377">
        <f>IFERROR(VLOOKUP(BikeData[[#This Row],[Intents]],[1]!Table2[#Data],5,FALSE),"")</f>
        <v>0</v>
      </c>
      <c r="O377">
        <f>IFERROR(VLOOKUP(BikeData[[#This Row],[Intents]],[1]!Table2[#Data],6,FALSE),"")</f>
        <v>2</v>
      </c>
      <c r="P377">
        <f>IFERROR(VLOOKUP(BikeData[[#This Row],[Intents]],[1]!Table2[#Data],7,FALSE),"")</f>
        <v>2</v>
      </c>
      <c r="Q377" s="2" t="str">
        <f>CHOOSE(BikeData[[#This Row],[Season]],"Spring","Summer","Fall","Winter")</f>
        <v>Spring</v>
      </c>
      <c r="R377" s="2" t="str">
        <f>CHOOSE(BikeData[[#This Row],[Weathersituation]],"Clear","Mist","Light Rain","Heavy Rain")</f>
        <v>Mist</v>
      </c>
      <c r="S377" s="2" t="str">
        <f>TEXT(BikeData[[#This Row],[Date]],"mmm")</f>
        <v>Jan</v>
      </c>
    </row>
    <row r="378" spans="1:19" x14ac:dyDescent="0.3">
      <c r="A378">
        <v>377</v>
      </c>
      <c r="B378" s="5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 s="6">
        <f>BikeData[[#This Row],[Temperature]]</f>
        <v>0.18</v>
      </c>
      <c r="L378">
        <f>IFERROR(VLOOKUP(BikeData[[#This Row],[Intents]],[1]!Table2[#Data],3,FALSE),"")</f>
        <v>0.43</v>
      </c>
      <c r="M378">
        <f>IFERROR(VLOOKUP(BikeData[[#This Row],[Intents]],[1]!Table2[#Data],4,FALSE),"")</f>
        <v>0.1343</v>
      </c>
      <c r="N378">
        <f>IFERROR(VLOOKUP(BikeData[[#This Row],[Intents]],[1]!Table2[#Data],5,FALSE),"")</f>
        <v>1</v>
      </c>
      <c r="O378">
        <f>IFERROR(VLOOKUP(BikeData[[#This Row],[Intents]],[1]!Table2[#Data],6,FALSE),"")</f>
        <v>2</v>
      </c>
      <c r="P378">
        <f>IFERROR(VLOOKUP(BikeData[[#This Row],[Intents]],[1]!Table2[#Data],7,FALSE),"")</f>
        <v>3</v>
      </c>
      <c r="Q378" s="2" t="str">
        <f>CHOOSE(BikeData[[#This Row],[Season]],"Spring","Summer","Fall","Winter")</f>
        <v>Spring</v>
      </c>
      <c r="R378" s="2" t="str">
        <f>CHOOSE(BikeData[[#This Row],[Weathersituation]],"Clear","Mist","Light Rain","Heavy Rain")</f>
        <v>Mist</v>
      </c>
      <c r="S378" s="2" t="str">
        <f>TEXT(BikeData[[#This Row],[Date]],"mmm")</f>
        <v>Jan</v>
      </c>
    </row>
    <row r="379" spans="1:19" x14ac:dyDescent="0.3">
      <c r="A379">
        <v>378</v>
      </c>
      <c r="B379" s="5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 s="6">
        <f>BikeData[[#This Row],[Temperature]]</f>
        <v>0.18</v>
      </c>
      <c r="L379">
        <f>IFERROR(VLOOKUP(BikeData[[#This Row],[Intents]],[1]!Table2[#Data],3,FALSE),"")</f>
        <v>0.43</v>
      </c>
      <c r="M379">
        <f>IFERROR(VLOOKUP(BikeData[[#This Row],[Intents]],[1]!Table2[#Data],4,FALSE),"")</f>
        <v>0.16420000000000001</v>
      </c>
      <c r="N379">
        <f>IFERROR(VLOOKUP(BikeData[[#This Row],[Intents]],[1]!Table2[#Data],5,FALSE),"")</f>
        <v>0</v>
      </c>
      <c r="O379">
        <f>IFERROR(VLOOKUP(BikeData[[#This Row],[Intents]],[1]!Table2[#Data],6,FALSE),"")</f>
        <v>1</v>
      </c>
      <c r="P379">
        <f>IFERROR(VLOOKUP(BikeData[[#This Row],[Intents]],[1]!Table2[#Data],7,FALSE),"")</f>
        <v>1</v>
      </c>
      <c r="Q379" s="2" t="str">
        <f>CHOOSE(BikeData[[#This Row],[Season]],"Spring","Summer","Fall","Winter")</f>
        <v>Spring</v>
      </c>
      <c r="R379" s="2" t="str">
        <f>CHOOSE(BikeData[[#This Row],[Weathersituation]],"Clear","Mist","Light Rain","Heavy Rain")</f>
        <v>Mist</v>
      </c>
      <c r="S379" s="2" t="str">
        <f>TEXT(BikeData[[#This Row],[Date]],"mmm")</f>
        <v>Jan</v>
      </c>
    </row>
    <row r="380" spans="1:19" x14ac:dyDescent="0.3">
      <c r="A380">
        <v>379</v>
      </c>
      <c r="B380" s="5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 s="6">
        <f>BikeData[[#This Row],[Temperature]]</f>
        <v>0.18</v>
      </c>
      <c r="L380">
        <f>IFERROR(VLOOKUP(BikeData[[#This Row],[Intents]],[1]!Table2[#Data],3,FALSE),"")</f>
        <v>0.43</v>
      </c>
      <c r="M380">
        <f>IFERROR(VLOOKUP(BikeData[[#This Row],[Intents]],[1]!Table2[#Data],4,FALSE),"")</f>
        <v>0.19400000000000001</v>
      </c>
      <c r="N380">
        <f>IFERROR(VLOOKUP(BikeData[[#This Row],[Intents]],[1]!Table2[#Data],5,FALSE),"")</f>
        <v>0</v>
      </c>
      <c r="O380">
        <f>IFERROR(VLOOKUP(BikeData[[#This Row],[Intents]],[1]!Table2[#Data],6,FALSE),"")</f>
        <v>5</v>
      </c>
      <c r="P380">
        <f>IFERROR(VLOOKUP(BikeData[[#This Row],[Intents]],[1]!Table2[#Data],7,FALSE),"")</f>
        <v>5</v>
      </c>
      <c r="Q380" s="2" t="str">
        <f>CHOOSE(BikeData[[#This Row],[Season]],"Spring","Summer","Fall","Winter")</f>
        <v>Spring</v>
      </c>
      <c r="R380" s="2" t="str">
        <f>CHOOSE(BikeData[[#This Row],[Weathersituation]],"Clear","Mist","Light Rain","Heavy Rain")</f>
        <v>Mist</v>
      </c>
      <c r="S380" s="2" t="str">
        <f>TEXT(BikeData[[#This Row],[Date]],"mmm")</f>
        <v>Jan</v>
      </c>
    </row>
    <row r="381" spans="1:19" x14ac:dyDescent="0.3">
      <c r="A381">
        <v>380</v>
      </c>
      <c r="B381" s="5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 s="6">
        <f>BikeData[[#This Row],[Temperature]]</f>
        <v>0.16</v>
      </c>
      <c r="L381">
        <f>IFERROR(VLOOKUP(BikeData[[#This Row],[Intents]],[1]!Table2[#Data],3,FALSE),"")</f>
        <v>0.5</v>
      </c>
      <c r="M381">
        <f>IFERROR(VLOOKUP(BikeData[[#This Row],[Intents]],[1]!Table2[#Data],4,FALSE),"")</f>
        <v>0.1343</v>
      </c>
      <c r="N381">
        <f>IFERROR(VLOOKUP(BikeData[[#This Row],[Intents]],[1]!Table2[#Data],5,FALSE),"")</f>
        <v>4</v>
      </c>
      <c r="O381">
        <f>IFERROR(VLOOKUP(BikeData[[#This Row],[Intents]],[1]!Table2[#Data],6,FALSE),"")</f>
        <v>9</v>
      </c>
      <c r="P381">
        <f>IFERROR(VLOOKUP(BikeData[[#This Row],[Intents]],[1]!Table2[#Data],7,FALSE),"")</f>
        <v>13</v>
      </c>
      <c r="Q381" s="2" t="str">
        <f>CHOOSE(BikeData[[#This Row],[Season]],"Spring","Summer","Fall","Winter")</f>
        <v>Spring</v>
      </c>
      <c r="R381" s="2" t="str">
        <f>CHOOSE(BikeData[[#This Row],[Weathersituation]],"Clear","Mist","Light Rain","Heavy Rain")</f>
        <v>Mist</v>
      </c>
      <c r="S381" s="2" t="str">
        <f>TEXT(BikeData[[#This Row],[Date]],"mmm")</f>
        <v>Jan</v>
      </c>
    </row>
    <row r="382" spans="1:19" x14ac:dyDescent="0.3">
      <c r="A382">
        <v>381</v>
      </c>
      <c r="B382" s="5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 s="6">
        <f>BikeData[[#This Row],[Temperature]]</f>
        <v>0.16</v>
      </c>
      <c r="L382">
        <f>IFERROR(VLOOKUP(BikeData[[#This Row],[Intents]],[1]!Table2[#Data],3,FALSE),"")</f>
        <v>0.47</v>
      </c>
      <c r="M382">
        <f>IFERROR(VLOOKUP(BikeData[[#This Row],[Intents]],[1]!Table2[#Data],4,FALSE),"")</f>
        <v>0.22389999999999999</v>
      </c>
      <c r="N382">
        <f>IFERROR(VLOOKUP(BikeData[[#This Row],[Intents]],[1]!Table2[#Data],5,FALSE),"")</f>
        <v>3</v>
      </c>
      <c r="O382">
        <f>IFERROR(VLOOKUP(BikeData[[#This Row],[Intents]],[1]!Table2[#Data],6,FALSE),"")</f>
        <v>30</v>
      </c>
      <c r="P382">
        <f>IFERROR(VLOOKUP(BikeData[[#This Row],[Intents]],[1]!Table2[#Data],7,FALSE),"")</f>
        <v>33</v>
      </c>
      <c r="Q382" s="2" t="str">
        <f>CHOOSE(BikeData[[#This Row],[Season]],"Spring","Summer","Fall","Winter")</f>
        <v>Spring</v>
      </c>
      <c r="R382" s="2" t="str">
        <f>CHOOSE(BikeData[[#This Row],[Weathersituation]],"Clear","Mist","Light Rain","Heavy Rain")</f>
        <v>Mist</v>
      </c>
      <c r="S382" s="2" t="str">
        <f>TEXT(BikeData[[#This Row],[Date]],"mmm")</f>
        <v>Jan</v>
      </c>
    </row>
    <row r="383" spans="1:19" x14ac:dyDescent="0.3">
      <c r="A383">
        <v>382</v>
      </c>
      <c r="B383" s="5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 s="6">
        <f>BikeData[[#This Row],[Temperature]]</f>
        <v>0.16</v>
      </c>
      <c r="L383">
        <f>IFERROR(VLOOKUP(BikeData[[#This Row],[Intents]],[1]!Table2[#Data],3,FALSE),"")</f>
        <v>0.47</v>
      </c>
      <c r="M383">
        <f>IFERROR(VLOOKUP(BikeData[[#This Row],[Intents]],[1]!Table2[#Data],4,FALSE),"")</f>
        <v>0.22389999999999999</v>
      </c>
      <c r="N383">
        <f>IFERROR(VLOOKUP(BikeData[[#This Row],[Intents]],[1]!Table2[#Data],5,FALSE),"")</f>
        <v>8</v>
      </c>
      <c r="O383">
        <f>IFERROR(VLOOKUP(BikeData[[#This Row],[Intents]],[1]!Table2[#Data],6,FALSE),"")</f>
        <v>39</v>
      </c>
      <c r="P383">
        <f>IFERROR(VLOOKUP(BikeData[[#This Row],[Intents]],[1]!Table2[#Data],7,FALSE),"")</f>
        <v>47</v>
      </c>
      <c r="Q383" s="2" t="str">
        <f>CHOOSE(BikeData[[#This Row],[Season]],"Spring","Summer","Fall","Winter")</f>
        <v>Spring</v>
      </c>
      <c r="R383" s="2" t="str">
        <f>CHOOSE(BikeData[[#This Row],[Weathersituation]],"Clear","Mist","Light Rain","Heavy Rain")</f>
        <v>Mist</v>
      </c>
      <c r="S383" s="2" t="str">
        <f>TEXT(BikeData[[#This Row],[Date]],"mmm")</f>
        <v>Jan</v>
      </c>
    </row>
    <row r="384" spans="1:19" x14ac:dyDescent="0.3">
      <c r="A384">
        <v>383</v>
      </c>
      <c r="B384" s="5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 s="6">
        <f>BikeData[[#This Row],[Temperature]]</f>
        <v>0.16</v>
      </c>
      <c r="L384">
        <f>IFERROR(VLOOKUP(BikeData[[#This Row],[Intents]],[1]!Table2[#Data],3,FALSE),"")</f>
        <v>0.5</v>
      </c>
      <c r="M384">
        <f>IFERROR(VLOOKUP(BikeData[[#This Row],[Intents]],[1]!Table2[#Data],4,FALSE),"")</f>
        <v>0.25369999999999998</v>
      </c>
      <c r="N384">
        <f>IFERROR(VLOOKUP(BikeData[[#This Row],[Intents]],[1]!Table2[#Data],5,FALSE),"")</f>
        <v>7</v>
      </c>
      <c r="O384">
        <f>IFERROR(VLOOKUP(BikeData[[#This Row],[Intents]],[1]!Table2[#Data],6,FALSE),"")</f>
        <v>50</v>
      </c>
      <c r="P384">
        <f>IFERROR(VLOOKUP(BikeData[[#This Row],[Intents]],[1]!Table2[#Data],7,FALSE),"")</f>
        <v>57</v>
      </c>
      <c r="Q384" s="2" t="str">
        <f>CHOOSE(BikeData[[#This Row],[Season]],"Spring","Summer","Fall","Winter")</f>
        <v>Spring</v>
      </c>
      <c r="R384" s="2" t="str">
        <f>CHOOSE(BikeData[[#This Row],[Weathersituation]],"Clear","Mist","Light Rain","Heavy Rain")</f>
        <v>Mist</v>
      </c>
      <c r="S384" s="2" t="str">
        <f>TEXT(BikeData[[#This Row],[Date]],"mmm")</f>
        <v>Jan</v>
      </c>
    </row>
    <row r="385" spans="1:19" x14ac:dyDescent="0.3">
      <c r="A385">
        <v>384</v>
      </c>
      <c r="B385" s="5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 s="6">
        <f>BikeData[[#This Row],[Temperature]]</f>
        <v>0.16</v>
      </c>
      <c r="L385">
        <f>IFERROR(VLOOKUP(BikeData[[#This Row],[Intents]],[1]!Table2[#Data],3,FALSE),"")</f>
        <v>0.55000000000000004</v>
      </c>
      <c r="M385">
        <f>IFERROR(VLOOKUP(BikeData[[#This Row],[Intents]],[1]!Table2[#Data],4,FALSE),"")</f>
        <v>0.19400000000000001</v>
      </c>
      <c r="N385">
        <f>IFERROR(VLOOKUP(BikeData[[#This Row],[Intents]],[1]!Table2[#Data],5,FALSE),"")</f>
        <v>9</v>
      </c>
      <c r="O385">
        <f>IFERROR(VLOOKUP(BikeData[[#This Row],[Intents]],[1]!Table2[#Data],6,FALSE),"")</f>
        <v>55</v>
      </c>
      <c r="P385">
        <f>IFERROR(VLOOKUP(BikeData[[#This Row],[Intents]],[1]!Table2[#Data],7,FALSE),"")</f>
        <v>64</v>
      </c>
      <c r="Q385" s="2" t="str">
        <f>CHOOSE(BikeData[[#This Row],[Season]],"Spring","Summer","Fall","Winter")</f>
        <v>Spring</v>
      </c>
      <c r="R385" s="2" t="str">
        <f>CHOOSE(BikeData[[#This Row],[Weathersituation]],"Clear","Mist","Light Rain","Heavy Rain")</f>
        <v>Mist</v>
      </c>
      <c r="S385" s="2" t="str">
        <f>TEXT(BikeData[[#This Row],[Date]],"mmm")</f>
        <v>Jan</v>
      </c>
    </row>
    <row r="386" spans="1:19" x14ac:dyDescent="0.3">
      <c r="A386">
        <v>385</v>
      </c>
      <c r="B386" s="5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 s="6">
        <f>BikeData[[#This Row],[Temperature]]</f>
        <v>0.18</v>
      </c>
      <c r="L386">
        <f>IFERROR(VLOOKUP(BikeData[[#This Row],[Intents]],[1]!Table2[#Data],3,FALSE),"")</f>
        <v>0.47</v>
      </c>
      <c r="M386">
        <f>IFERROR(VLOOKUP(BikeData[[#This Row],[Intents]],[1]!Table2[#Data],4,FALSE),"")</f>
        <v>0.1343</v>
      </c>
      <c r="N386">
        <f>IFERROR(VLOOKUP(BikeData[[#This Row],[Intents]],[1]!Table2[#Data],5,FALSE),"")</f>
        <v>10</v>
      </c>
      <c r="O386">
        <f>IFERROR(VLOOKUP(BikeData[[#This Row],[Intents]],[1]!Table2[#Data],6,FALSE),"")</f>
        <v>70</v>
      </c>
      <c r="P386">
        <f>IFERROR(VLOOKUP(BikeData[[#This Row],[Intents]],[1]!Table2[#Data],7,FALSE),"")</f>
        <v>80</v>
      </c>
      <c r="Q386" s="2" t="str">
        <f>CHOOSE(BikeData[[#This Row],[Season]],"Spring","Summer","Fall","Winter")</f>
        <v>Spring</v>
      </c>
      <c r="R386" s="2" t="str">
        <f>CHOOSE(BikeData[[#This Row],[Weathersituation]],"Clear","Mist","Light Rain","Heavy Rain")</f>
        <v>Mist</v>
      </c>
      <c r="S386" s="2" t="str">
        <f>TEXT(BikeData[[#This Row],[Date]],"mmm")</f>
        <v>Jan</v>
      </c>
    </row>
    <row r="387" spans="1:19" x14ac:dyDescent="0.3">
      <c r="A387">
        <v>386</v>
      </c>
      <c r="B387" s="5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 s="6">
        <f>BikeData[[#This Row],[Temperature]]</f>
        <v>0.18</v>
      </c>
      <c r="L387">
        <f>IFERROR(VLOOKUP(BikeData[[#This Row],[Intents]],[1]!Table2[#Data],3,FALSE),"")</f>
        <v>0.47</v>
      </c>
      <c r="M387">
        <f>IFERROR(VLOOKUP(BikeData[[#This Row],[Intents]],[1]!Table2[#Data],4,FALSE),"")</f>
        <v>0.1343</v>
      </c>
      <c r="N387">
        <f>IFERROR(VLOOKUP(BikeData[[#This Row],[Intents]],[1]!Table2[#Data],5,FALSE),"")</f>
        <v>13</v>
      </c>
      <c r="O387">
        <f>IFERROR(VLOOKUP(BikeData[[#This Row],[Intents]],[1]!Table2[#Data],6,FALSE),"")</f>
        <v>80</v>
      </c>
      <c r="P387">
        <f>IFERROR(VLOOKUP(BikeData[[#This Row],[Intents]],[1]!Table2[#Data],7,FALSE),"")</f>
        <v>93</v>
      </c>
      <c r="Q387" s="2" t="str">
        <f>CHOOSE(BikeData[[#This Row],[Season]],"Spring","Summer","Fall","Winter")</f>
        <v>Spring</v>
      </c>
      <c r="R387" s="2" t="str">
        <f>CHOOSE(BikeData[[#This Row],[Weathersituation]],"Clear","Mist","Light Rain","Heavy Rain")</f>
        <v>Mist</v>
      </c>
      <c r="S387" s="2" t="str">
        <f>TEXT(BikeData[[#This Row],[Date]],"mmm")</f>
        <v>Jan</v>
      </c>
    </row>
    <row r="388" spans="1:19" x14ac:dyDescent="0.3">
      <c r="A388">
        <v>387</v>
      </c>
      <c r="B388" s="5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 s="6">
        <f>BikeData[[#This Row],[Temperature]]</f>
        <v>0.18</v>
      </c>
      <c r="L388">
        <f>IFERROR(VLOOKUP(BikeData[[#This Row],[Intents]],[1]!Table2[#Data],3,FALSE),"")</f>
        <v>0.43</v>
      </c>
      <c r="M388">
        <f>IFERROR(VLOOKUP(BikeData[[#This Row],[Intents]],[1]!Table2[#Data],4,FALSE),"")</f>
        <v>0.1045</v>
      </c>
      <c r="N388">
        <f>IFERROR(VLOOKUP(BikeData[[#This Row],[Intents]],[1]!Table2[#Data],5,FALSE),"")</f>
        <v>12</v>
      </c>
      <c r="O388">
        <f>IFERROR(VLOOKUP(BikeData[[#This Row],[Intents]],[1]!Table2[#Data],6,FALSE),"")</f>
        <v>74</v>
      </c>
      <c r="P388">
        <f>IFERROR(VLOOKUP(BikeData[[#This Row],[Intents]],[1]!Table2[#Data],7,FALSE),"")</f>
        <v>86</v>
      </c>
      <c r="Q388" s="2" t="str">
        <f>CHOOSE(BikeData[[#This Row],[Season]],"Spring","Summer","Fall","Winter")</f>
        <v>Spring</v>
      </c>
      <c r="R388" s="2" t="str">
        <f>CHOOSE(BikeData[[#This Row],[Weathersituation]],"Clear","Mist","Light Rain","Heavy Rain")</f>
        <v>Mist</v>
      </c>
      <c r="S388" s="2" t="str">
        <f>TEXT(BikeData[[#This Row],[Date]],"mmm")</f>
        <v>Jan</v>
      </c>
    </row>
    <row r="389" spans="1:19" x14ac:dyDescent="0.3">
      <c r="A389">
        <v>388</v>
      </c>
      <c r="B389" s="5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 s="6">
        <f>BikeData[[#This Row],[Temperature]]</f>
        <v>0.2</v>
      </c>
      <c r="L389">
        <f>IFERROR(VLOOKUP(BikeData[[#This Row],[Intents]],[1]!Table2[#Data],3,FALSE),"")</f>
        <v>0.47</v>
      </c>
      <c r="M389">
        <f>IFERROR(VLOOKUP(BikeData[[#This Row],[Intents]],[1]!Table2[#Data],4,FALSE),"")</f>
        <v>0.16420000000000001</v>
      </c>
      <c r="N389">
        <f>IFERROR(VLOOKUP(BikeData[[#This Row],[Intents]],[1]!Table2[#Data],5,FALSE),"")</f>
        <v>21</v>
      </c>
      <c r="O389">
        <f>IFERROR(VLOOKUP(BikeData[[#This Row],[Intents]],[1]!Table2[#Data],6,FALSE),"")</f>
        <v>72</v>
      </c>
      <c r="P389">
        <f>IFERROR(VLOOKUP(BikeData[[#This Row],[Intents]],[1]!Table2[#Data],7,FALSE),"")</f>
        <v>93</v>
      </c>
      <c r="Q389" s="2" t="str">
        <f>CHOOSE(BikeData[[#This Row],[Season]],"Spring","Summer","Fall","Winter")</f>
        <v>Spring</v>
      </c>
      <c r="R389" s="2" t="str">
        <f>CHOOSE(BikeData[[#This Row],[Weathersituation]],"Clear","Mist","Light Rain","Heavy Rain")</f>
        <v>Mist</v>
      </c>
      <c r="S389" s="2" t="str">
        <f>TEXT(BikeData[[#This Row],[Date]],"mmm")</f>
        <v>Jan</v>
      </c>
    </row>
    <row r="390" spans="1:19" x14ac:dyDescent="0.3">
      <c r="A390">
        <v>389</v>
      </c>
      <c r="B390" s="5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 s="6">
        <f>BikeData[[#This Row],[Temperature]]</f>
        <v>0.2</v>
      </c>
      <c r="L390">
        <f>IFERROR(VLOOKUP(BikeData[[#This Row],[Intents]],[1]!Table2[#Data],3,FALSE),"")</f>
        <v>0.47</v>
      </c>
      <c r="M390">
        <f>IFERROR(VLOOKUP(BikeData[[#This Row],[Intents]],[1]!Table2[#Data],4,FALSE),"")</f>
        <v>0.16420000000000001</v>
      </c>
      <c r="N390">
        <f>IFERROR(VLOOKUP(BikeData[[#This Row],[Intents]],[1]!Table2[#Data],5,FALSE),"")</f>
        <v>6</v>
      </c>
      <c r="O390">
        <f>IFERROR(VLOOKUP(BikeData[[#This Row],[Intents]],[1]!Table2[#Data],6,FALSE),"")</f>
        <v>76</v>
      </c>
      <c r="P390">
        <f>IFERROR(VLOOKUP(BikeData[[#This Row],[Intents]],[1]!Table2[#Data],7,FALSE),"")</f>
        <v>82</v>
      </c>
      <c r="Q390" s="2" t="str">
        <f>CHOOSE(BikeData[[#This Row],[Season]],"Spring","Summer","Fall","Winter")</f>
        <v>Spring</v>
      </c>
      <c r="R390" s="2" t="str">
        <f>CHOOSE(BikeData[[#This Row],[Weathersituation]],"Clear","Mist","Light Rain","Heavy Rain")</f>
        <v>Mist</v>
      </c>
      <c r="S390" s="2" t="str">
        <f>TEXT(BikeData[[#This Row],[Date]],"mmm")</f>
        <v>Jan</v>
      </c>
    </row>
    <row r="391" spans="1:19" x14ac:dyDescent="0.3">
      <c r="A391">
        <v>390</v>
      </c>
      <c r="B391" s="5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 s="6">
        <f>BikeData[[#This Row],[Temperature]]</f>
        <v>0.2</v>
      </c>
      <c r="L391">
        <f>IFERROR(VLOOKUP(BikeData[[#This Row],[Intents]],[1]!Table2[#Data],3,FALSE),"")</f>
        <v>0.51</v>
      </c>
      <c r="M391">
        <f>IFERROR(VLOOKUP(BikeData[[#This Row],[Intents]],[1]!Table2[#Data],4,FALSE),"")</f>
        <v>0.19400000000000001</v>
      </c>
      <c r="N391">
        <f>IFERROR(VLOOKUP(BikeData[[#This Row],[Intents]],[1]!Table2[#Data],5,FALSE),"")</f>
        <v>4</v>
      </c>
      <c r="O391">
        <f>IFERROR(VLOOKUP(BikeData[[#This Row],[Intents]],[1]!Table2[#Data],6,FALSE),"")</f>
        <v>67</v>
      </c>
      <c r="P391">
        <f>IFERROR(VLOOKUP(BikeData[[#This Row],[Intents]],[1]!Table2[#Data],7,FALSE),"")</f>
        <v>71</v>
      </c>
      <c r="Q391" s="2" t="str">
        <f>CHOOSE(BikeData[[#This Row],[Season]],"Spring","Summer","Fall","Winter")</f>
        <v>Spring</v>
      </c>
      <c r="R391" s="2" t="str">
        <f>CHOOSE(BikeData[[#This Row],[Weathersituation]],"Clear","Mist","Light Rain","Heavy Rain")</f>
        <v>Clear</v>
      </c>
      <c r="S391" s="2" t="str">
        <f>TEXT(BikeData[[#This Row],[Date]],"mmm")</f>
        <v>Jan</v>
      </c>
    </row>
    <row r="392" spans="1:19" x14ac:dyDescent="0.3">
      <c r="A392">
        <v>391</v>
      </c>
      <c r="B392" s="5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 s="6">
        <f>BikeData[[#This Row],[Temperature]]</f>
        <v>0.18</v>
      </c>
      <c r="L392">
        <f>IFERROR(VLOOKUP(BikeData[[#This Row],[Intents]],[1]!Table2[#Data],3,FALSE),"")</f>
        <v>0.55000000000000004</v>
      </c>
      <c r="M392">
        <f>IFERROR(VLOOKUP(BikeData[[#This Row],[Intents]],[1]!Table2[#Data],4,FALSE),"")</f>
        <v>0.25369999999999998</v>
      </c>
      <c r="N392">
        <f>IFERROR(VLOOKUP(BikeData[[#This Row],[Intents]],[1]!Table2[#Data],5,FALSE),"")</f>
        <v>7</v>
      </c>
      <c r="O392">
        <f>IFERROR(VLOOKUP(BikeData[[#This Row],[Intents]],[1]!Table2[#Data],6,FALSE),"")</f>
        <v>85</v>
      </c>
      <c r="P392">
        <f>IFERROR(VLOOKUP(BikeData[[#This Row],[Intents]],[1]!Table2[#Data],7,FALSE),"")</f>
        <v>92</v>
      </c>
      <c r="Q392" s="2" t="str">
        <f>CHOOSE(BikeData[[#This Row],[Season]],"Spring","Summer","Fall","Winter")</f>
        <v>Spring</v>
      </c>
      <c r="R392" s="2" t="str">
        <f>CHOOSE(BikeData[[#This Row],[Weathersituation]],"Clear","Mist","Light Rain","Heavy Rain")</f>
        <v>Mist</v>
      </c>
      <c r="S392" s="2" t="str">
        <f>TEXT(BikeData[[#This Row],[Date]],"mmm")</f>
        <v>Jan</v>
      </c>
    </row>
    <row r="393" spans="1:19" x14ac:dyDescent="0.3">
      <c r="A393">
        <v>392</v>
      </c>
      <c r="B393" s="5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 s="6">
        <f>BikeData[[#This Row],[Temperature]]</f>
        <v>0.18</v>
      </c>
      <c r="L393">
        <f>IFERROR(VLOOKUP(BikeData[[#This Row],[Intents]],[1]!Table2[#Data],3,FALSE),"")</f>
        <v>0.59</v>
      </c>
      <c r="M393">
        <f>IFERROR(VLOOKUP(BikeData[[#This Row],[Intents]],[1]!Table2[#Data],4,FALSE),"")</f>
        <v>0.19400000000000001</v>
      </c>
      <c r="N393">
        <f>IFERROR(VLOOKUP(BikeData[[#This Row],[Intents]],[1]!Table2[#Data],5,FALSE),"")</f>
        <v>2</v>
      </c>
      <c r="O393">
        <f>IFERROR(VLOOKUP(BikeData[[#This Row],[Intents]],[1]!Table2[#Data],6,FALSE),"")</f>
        <v>58</v>
      </c>
      <c r="P393">
        <f>IFERROR(VLOOKUP(BikeData[[#This Row],[Intents]],[1]!Table2[#Data],7,FALSE),"")</f>
        <v>60</v>
      </c>
      <c r="Q393" s="2" t="str">
        <f>CHOOSE(BikeData[[#This Row],[Season]],"Spring","Summer","Fall","Winter")</f>
        <v>Spring</v>
      </c>
      <c r="R393" s="2" t="str">
        <f>CHOOSE(BikeData[[#This Row],[Weathersituation]],"Clear","Mist","Light Rain","Heavy Rain")</f>
        <v>Light Rain</v>
      </c>
      <c r="S393" s="2" t="str">
        <f>TEXT(BikeData[[#This Row],[Date]],"mmm")</f>
        <v>Jan</v>
      </c>
    </row>
    <row r="394" spans="1:19" x14ac:dyDescent="0.3">
      <c r="A394">
        <v>393</v>
      </c>
      <c r="B394" s="5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 s="6">
        <f>BikeData[[#This Row],[Temperature]]</f>
        <v>0.16</v>
      </c>
      <c r="L394">
        <f>IFERROR(VLOOKUP(BikeData[[#This Row],[Intents]],[1]!Table2[#Data],3,FALSE),"")</f>
        <v>0.8</v>
      </c>
      <c r="M394">
        <f>IFERROR(VLOOKUP(BikeData[[#This Row],[Intents]],[1]!Table2[#Data],4,FALSE),"")</f>
        <v>0.19400000000000001</v>
      </c>
      <c r="N394">
        <f>IFERROR(VLOOKUP(BikeData[[#This Row],[Intents]],[1]!Table2[#Data],5,FALSE),"")</f>
        <v>4</v>
      </c>
      <c r="O394">
        <f>IFERROR(VLOOKUP(BikeData[[#This Row],[Intents]],[1]!Table2[#Data],6,FALSE),"")</f>
        <v>29</v>
      </c>
      <c r="P394">
        <f>IFERROR(VLOOKUP(BikeData[[#This Row],[Intents]],[1]!Table2[#Data],7,FALSE),"")</f>
        <v>33</v>
      </c>
      <c r="Q394" s="2" t="str">
        <f>CHOOSE(BikeData[[#This Row],[Season]],"Spring","Summer","Fall","Winter")</f>
        <v>Spring</v>
      </c>
      <c r="R394" s="2" t="str">
        <f>CHOOSE(BikeData[[#This Row],[Weathersituation]],"Clear","Mist","Light Rain","Heavy Rain")</f>
        <v>Light Rain</v>
      </c>
      <c r="S394" s="2" t="str">
        <f>TEXT(BikeData[[#This Row],[Date]],"mmm")</f>
        <v>Jan</v>
      </c>
    </row>
    <row r="395" spans="1:19" x14ac:dyDescent="0.3">
      <c r="A395">
        <v>394</v>
      </c>
      <c r="B395" s="5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 s="6">
        <f>BikeData[[#This Row],[Temperature]]</f>
        <v>0.16</v>
      </c>
      <c r="L395">
        <f>IFERROR(VLOOKUP(BikeData[[#This Row],[Intents]],[1]!Table2[#Data],3,FALSE),"")</f>
        <v>0.8</v>
      </c>
      <c r="M395">
        <f>IFERROR(VLOOKUP(BikeData[[#This Row],[Intents]],[1]!Table2[#Data],4,FALSE),"")</f>
        <v>0.19400000000000001</v>
      </c>
      <c r="N395">
        <f>IFERROR(VLOOKUP(BikeData[[#This Row],[Intents]],[1]!Table2[#Data],5,FALSE),"")</f>
        <v>3</v>
      </c>
      <c r="O395">
        <f>IFERROR(VLOOKUP(BikeData[[#This Row],[Intents]],[1]!Table2[#Data],6,FALSE),"")</f>
        <v>24</v>
      </c>
      <c r="P395">
        <f>IFERROR(VLOOKUP(BikeData[[#This Row],[Intents]],[1]!Table2[#Data],7,FALSE),"")</f>
        <v>27</v>
      </c>
      <c r="Q395" s="2" t="str">
        <f>CHOOSE(BikeData[[#This Row],[Season]],"Spring","Summer","Fall","Winter")</f>
        <v>Spring</v>
      </c>
      <c r="R395" s="2" t="str">
        <f>CHOOSE(BikeData[[#This Row],[Weathersituation]],"Clear","Mist","Light Rain","Heavy Rain")</f>
        <v>Light Rain</v>
      </c>
      <c r="S395" s="2" t="str">
        <f>TEXT(BikeData[[#This Row],[Date]],"mmm")</f>
        <v>Jan</v>
      </c>
    </row>
    <row r="396" spans="1:19" x14ac:dyDescent="0.3">
      <c r="A396">
        <v>395</v>
      </c>
      <c r="B396" s="5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 s="6">
        <f>BikeData[[#This Row],[Temperature]]</f>
        <v>0.14000000000000001</v>
      </c>
      <c r="L396">
        <f>IFERROR(VLOOKUP(BikeData[[#This Row],[Intents]],[1]!Table2[#Data],3,FALSE),"")</f>
        <v>0.93</v>
      </c>
      <c r="M396">
        <f>IFERROR(VLOOKUP(BikeData[[#This Row],[Intents]],[1]!Table2[#Data],4,FALSE),"")</f>
        <v>0.25369999999999998</v>
      </c>
      <c r="N396">
        <f>IFERROR(VLOOKUP(BikeData[[#This Row],[Intents]],[1]!Table2[#Data],5,FALSE),"")</f>
        <v>0</v>
      </c>
      <c r="O396">
        <f>IFERROR(VLOOKUP(BikeData[[#This Row],[Intents]],[1]!Table2[#Data],6,FALSE),"")</f>
        <v>13</v>
      </c>
      <c r="P396">
        <f>IFERROR(VLOOKUP(BikeData[[#This Row],[Intents]],[1]!Table2[#Data],7,FALSE),"")</f>
        <v>13</v>
      </c>
      <c r="Q396" s="2" t="str">
        <f>CHOOSE(BikeData[[#This Row],[Season]],"Spring","Summer","Fall","Winter")</f>
        <v>Spring</v>
      </c>
      <c r="R396" s="2" t="str">
        <f>CHOOSE(BikeData[[#This Row],[Weathersituation]],"Clear","Mist","Light Rain","Heavy Rain")</f>
        <v>Light Rain</v>
      </c>
      <c r="S396" s="2" t="str">
        <f>TEXT(BikeData[[#This Row],[Date]],"mmm")</f>
        <v>Jan</v>
      </c>
    </row>
    <row r="397" spans="1:19" x14ac:dyDescent="0.3">
      <c r="A397">
        <v>396</v>
      </c>
      <c r="B397" s="5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 s="6">
        <f>BikeData[[#This Row],[Temperature]]</f>
        <v>0.16</v>
      </c>
      <c r="L397">
        <f>IFERROR(VLOOKUP(BikeData[[#This Row],[Intents]],[1]!Table2[#Data],3,FALSE),"")</f>
        <v>0.86</v>
      </c>
      <c r="M397">
        <f>IFERROR(VLOOKUP(BikeData[[#This Row],[Intents]],[1]!Table2[#Data],4,FALSE),"")</f>
        <v>0.28360000000000002</v>
      </c>
      <c r="N397">
        <f>IFERROR(VLOOKUP(BikeData[[#This Row],[Intents]],[1]!Table2[#Data],5,FALSE),"")</f>
        <v>1</v>
      </c>
      <c r="O397">
        <f>IFERROR(VLOOKUP(BikeData[[#This Row],[Intents]],[1]!Table2[#Data],6,FALSE),"")</f>
        <v>3</v>
      </c>
      <c r="P397">
        <f>IFERROR(VLOOKUP(BikeData[[#This Row],[Intents]],[1]!Table2[#Data],7,FALSE),"")</f>
        <v>4</v>
      </c>
      <c r="Q397" s="2" t="str">
        <f>CHOOSE(BikeData[[#This Row],[Season]],"Spring","Summer","Fall","Winter")</f>
        <v>Spring</v>
      </c>
      <c r="R397" s="2" t="str">
        <f>CHOOSE(BikeData[[#This Row],[Weathersituation]],"Clear","Mist","Light Rain","Heavy Rain")</f>
        <v>Light Rain</v>
      </c>
      <c r="S397" s="2" t="str">
        <f>TEXT(BikeData[[#This Row],[Date]],"mmm")</f>
        <v>Jan</v>
      </c>
    </row>
    <row r="398" spans="1:19" x14ac:dyDescent="0.3">
      <c r="A398">
        <v>397</v>
      </c>
      <c r="B398" s="5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 s="6">
        <f>BikeData[[#This Row],[Temperature]]</f>
        <v>0.2</v>
      </c>
      <c r="L398">
        <f>IFERROR(VLOOKUP(BikeData[[#This Row],[Intents]],[1]!Table2[#Data],3,FALSE),"")</f>
        <v>0.86</v>
      </c>
      <c r="M398">
        <f>IFERROR(VLOOKUP(BikeData[[#This Row],[Intents]],[1]!Table2[#Data],4,FALSE),"")</f>
        <v>0.32840000000000003</v>
      </c>
      <c r="N398">
        <f>IFERROR(VLOOKUP(BikeData[[#This Row],[Intents]],[1]!Table2[#Data],5,FALSE),"")</f>
        <v>0</v>
      </c>
      <c r="O398">
        <f>IFERROR(VLOOKUP(BikeData[[#This Row],[Intents]],[1]!Table2[#Data],6,FALSE),"")</f>
        <v>3</v>
      </c>
      <c r="P398">
        <f>IFERROR(VLOOKUP(BikeData[[#This Row],[Intents]],[1]!Table2[#Data],7,FALSE),"")</f>
        <v>3</v>
      </c>
      <c r="Q398" s="2" t="str">
        <f>CHOOSE(BikeData[[#This Row],[Season]],"Spring","Summer","Fall","Winter")</f>
        <v>Spring</v>
      </c>
      <c r="R398" s="2" t="str">
        <f>CHOOSE(BikeData[[#This Row],[Weathersituation]],"Clear","Mist","Light Rain","Heavy Rain")</f>
        <v>Mist</v>
      </c>
      <c r="S398" s="2" t="str">
        <f>TEXT(BikeData[[#This Row],[Date]],"mmm")</f>
        <v>Jan</v>
      </c>
    </row>
    <row r="399" spans="1:19" x14ac:dyDescent="0.3">
      <c r="A399">
        <v>398</v>
      </c>
      <c r="B399" s="5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 s="6">
        <f>BikeData[[#This Row],[Temperature]]</f>
        <v>0.2</v>
      </c>
      <c r="L399">
        <f>IFERROR(VLOOKUP(BikeData[[#This Row],[Intents]],[1]!Table2[#Data],3,FALSE),"")</f>
        <v>0.86</v>
      </c>
      <c r="M399">
        <f>IFERROR(VLOOKUP(BikeData[[#This Row],[Intents]],[1]!Table2[#Data],4,FALSE),"")</f>
        <v>0.22389999999999999</v>
      </c>
      <c r="N399">
        <f>IFERROR(VLOOKUP(BikeData[[#This Row],[Intents]],[1]!Table2[#Data],5,FALSE),"")</f>
        <v>0</v>
      </c>
      <c r="O399">
        <f>IFERROR(VLOOKUP(BikeData[[#This Row],[Intents]],[1]!Table2[#Data],6,FALSE),"")</f>
        <v>22</v>
      </c>
      <c r="P399">
        <f>IFERROR(VLOOKUP(BikeData[[#This Row],[Intents]],[1]!Table2[#Data],7,FALSE),"")</f>
        <v>22</v>
      </c>
      <c r="Q399" s="2" t="str">
        <f>CHOOSE(BikeData[[#This Row],[Season]],"Spring","Summer","Fall","Winter")</f>
        <v>Spring</v>
      </c>
      <c r="R399" s="2" t="str">
        <f>CHOOSE(BikeData[[#This Row],[Weathersituation]],"Clear","Mist","Light Rain","Heavy Rain")</f>
        <v>Mist</v>
      </c>
      <c r="S399" s="2" t="str">
        <f>TEXT(BikeData[[#This Row],[Date]],"mmm")</f>
        <v>Jan</v>
      </c>
    </row>
    <row r="400" spans="1:19" x14ac:dyDescent="0.3">
      <c r="A400">
        <v>399</v>
      </c>
      <c r="B400" s="5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 s="6">
        <f>BikeData[[#This Row],[Temperature]]</f>
        <v>0.22</v>
      </c>
      <c r="L400">
        <f>IFERROR(VLOOKUP(BikeData[[#This Row],[Intents]],[1]!Table2[#Data],3,FALSE),"")</f>
        <v>0.8</v>
      </c>
      <c r="M400">
        <f>IFERROR(VLOOKUP(BikeData[[#This Row],[Intents]],[1]!Table2[#Data],4,FALSE),"")</f>
        <v>0.16420000000000001</v>
      </c>
      <c r="N400">
        <f>IFERROR(VLOOKUP(BikeData[[#This Row],[Intents]],[1]!Table2[#Data],5,FALSE),"")</f>
        <v>2</v>
      </c>
      <c r="O400">
        <f>IFERROR(VLOOKUP(BikeData[[#This Row],[Intents]],[1]!Table2[#Data],6,FALSE),"")</f>
        <v>26</v>
      </c>
      <c r="P400">
        <f>IFERROR(VLOOKUP(BikeData[[#This Row],[Intents]],[1]!Table2[#Data],7,FALSE),"")</f>
        <v>28</v>
      </c>
      <c r="Q400" s="2" t="str">
        <f>CHOOSE(BikeData[[#This Row],[Season]],"Spring","Summer","Fall","Winter")</f>
        <v>Spring</v>
      </c>
      <c r="R400" s="2" t="str">
        <f>CHOOSE(BikeData[[#This Row],[Weathersituation]],"Clear","Mist","Light Rain","Heavy Rain")</f>
        <v>Mist</v>
      </c>
      <c r="S400" s="2" t="str">
        <f>TEXT(BikeData[[#This Row],[Date]],"mmm")</f>
        <v>Jan</v>
      </c>
    </row>
    <row r="401" spans="1:19" x14ac:dyDescent="0.3">
      <c r="A401">
        <v>400</v>
      </c>
      <c r="B401" s="5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 s="6">
        <f>BikeData[[#This Row],[Temperature]]</f>
        <v>0.22</v>
      </c>
      <c r="L401">
        <f>IFERROR(VLOOKUP(BikeData[[#This Row],[Intents]],[1]!Table2[#Data],3,FALSE),"")</f>
        <v>0.87</v>
      </c>
      <c r="M401">
        <f>IFERROR(VLOOKUP(BikeData[[#This Row],[Intents]],[1]!Table2[#Data],4,FALSE),"")</f>
        <v>0.16420000000000001</v>
      </c>
      <c r="N401">
        <f>IFERROR(VLOOKUP(BikeData[[#This Row],[Intents]],[1]!Table2[#Data],5,FALSE),"")</f>
        <v>3</v>
      </c>
      <c r="O401">
        <f>IFERROR(VLOOKUP(BikeData[[#This Row],[Intents]],[1]!Table2[#Data],6,FALSE),"")</f>
        <v>32</v>
      </c>
      <c r="P401">
        <f>IFERROR(VLOOKUP(BikeData[[#This Row],[Intents]],[1]!Table2[#Data],7,FALSE),"")</f>
        <v>35</v>
      </c>
      <c r="Q401" s="2" t="str">
        <f>CHOOSE(BikeData[[#This Row],[Season]],"Spring","Summer","Fall","Winter")</f>
        <v>Spring</v>
      </c>
      <c r="R401" s="2" t="str">
        <f>CHOOSE(BikeData[[#This Row],[Weathersituation]],"Clear","Mist","Light Rain","Heavy Rain")</f>
        <v>Mist</v>
      </c>
      <c r="S401" s="2" t="str">
        <f>TEXT(BikeData[[#This Row],[Date]],"mmm")</f>
        <v>Jan</v>
      </c>
    </row>
    <row r="402" spans="1:19" x14ac:dyDescent="0.3">
      <c r="A402">
        <v>401</v>
      </c>
      <c r="B402" s="5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 s="6">
        <f>BikeData[[#This Row],[Temperature]]</f>
        <v>0.22</v>
      </c>
      <c r="L402">
        <f>IFERROR(VLOOKUP(BikeData[[#This Row],[Intents]],[1]!Table2[#Data],3,FALSE),"")</f>
        <v>0.87</v>
      </c>
      <c r="M402">
        <f>IFERROR(VLOOKUP(BikeData[[#This Row],[Intents]],[1]!Table2[#Data],4,FALSE),"")</f>
        <v>0.19400000000000001</v>
      </c>
      <c r="N402">
        <f>IFERROR(VLOOKUP(BikeData[[#This Row],[Intents]],[1]!Table2[#Data],5,FALSE),"")</f>
        <v>0</v>
      </c>
      <c r="O402">
        <f>IFERROR(VLOOKUP(BikeData[[#This Row],[Intents]],[1]!Table2[#Data],6,FALSE),"")</f>
        <v>61</v>
      </c>
      <c r="P402">
        <f>IFERROR(VLOOKUP(BikeData[[#This Row],[Intents]],[1]!Table2[#Data],7,FALSE),"")</f>
        <v>61</v>
      </c>
      <c r="Q402" s="2" t="str">
        <f>CHOOSE(BikeData[[#This Row],[Season]],"Spring","Summer","Fall","Winter")</f>
        <v>Spring</v>
      </c>
      <c r="R402" s="2" t="str">
        <f>CHOOSE(BikeData[[#This Row],[Weathersituation]],"Clear","Mist","Light Rain","Heavy Rain")</f>
        <v>Mist</v>
      </c>
      <c r="S402" s="2" t="str">
        <f>TEXT(BikeData[[#This Row],[Date]],"mmm")</f>
        <v>Jan</v>
      </c>
    </row>
    <row r="403" spans="1:19" x14ac:dyDescent="0.3">
      <c r="A403">
        <v>402</v>
      </c>
      <c r="B403" s="5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 s="6">
        <f>BikeData[[#This Row],[Temperature]]</f>
        <v>0.22</v>
      </c>
      <c r="L403">
        <f>IFERROR(VLOOKUP(BikeData[[#This Row],[Intents]],[1]!Table2[#Data],3,FALSE),"")</f>
        <v>0.82</v>
      </c>
      <c r="M403">
        <f>IFERROR(VLOOKUP(BikeData[[#This Row],[Intents]],[1]!Table2[#Data],4,FALSE),"")</f>
        <v>0.19400000000000001</v>
      </c>
      <c r="N403">
        <f>IFERROR(VLOOKUP(BikeData[[#This Row],[Intents]],[1]!Table2[#Data],5,FALSE),"")</f>
        <v>1</v>
      </c>
      <c r="O403">
        <f>IFERROR(VLOOKUP(BikeData[[#This Row],[Intents]],[1]!Table2[#Data],6,FALSE),"")</f>
        <v>124</v>
      </c>
      <c r="P403">
        <f>IFERROR(VLOOKUP(BikeData[[#This Row],[Intents]],[1]!Table2[#Data],7,FALSE),"")</f>
        <v>125</v>
      </c>
      <c r="Q403" s="2" t="str">
        <f>CHOOSE(BikeData[[#This Row],[Season]],"Spring","Summer","Fall","Winter")</f>
        <v>Spring</v>
      </c>
      <c r="R403" s="2" t="str">
        <f>CHOOSE(BikeData[[#This Row],[Weathersituation]],"Clear","Mist","Light Rain","Heavy Rain")</f>
        <v>Mist</v>
      </c>
      <c r="S403" s="2" t="str">
        <f>TEXT(BikeData[[#This Row],[Date]],"mmm")</f>
        <v>Jan</v>
      </c>
    </row>
    <row r="404" spans="1:19" x14ac:dyDescent="0.3">
      <c r="A404">
        <v>403</v>
      </c>
      <c r="B404" s="5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 s="6">
        <f>BikeData[[#This Row],[Temperature]]</f>
        <v>0.22</v>
      </c>
      <c r="L404">
        <f>IFERROR(VLOOKUP(BikeData[[#This Row],[Intents]],[1]!Table2[#Data],3,FALSE),"")</f>
        <v>0.8</v>
      </c>
      <c r="M404">
        <f>IFERROR(VLOOKUP(BikeData[[#This Row],[Intents]],[1]!Table2[#Data],4,FALSE),"")</f>
        <v>0.16420000000000001</v>
      </c>
      <c r="N404">
        <f>IFERROR(VLOOKUP(BikeData[[#This Row],[Intents]],[1]!Table2[#Data],5,FALSE),"")</f>
        <v>1</v>
      </c>
      <c r="O404">
        <f>IFERROR(VLOOKUP(BikeData[[#This Row],[Intents]],[1]!Table2[#Data],6,FALSE),"")</f>
        <v>132</v>
      </c>
      <c r="P404">
        <f>IFERROR(VLOOKUP(BikeData[[#This Row],[Intents]],[1]!Table2[#Data],7,FALSE),"")</f>
        <v>133</v>
      </c>
      <c r="Q404" s="2" t="str">
        <f>CHOOSE(BikeData[[#This Row],[Season]],"Spring","Summer","Fall","Winter")</f>
        <v>Spring</v>
      </c>
      <c r="R404" s="2" t="str">
        <f>CHOOSE(BikeData[[#This Row],[Weathersituation]],"Clear","Mist","Light Rain","Heavy Rain")</f>
        <v>Mist</v>
      </c>
      <c r="S404" s="2" t="str">
        <f>TEXT(BikeData[[#This Row],[Date]],"mmm")</f>
        <v>Jan</v>
      </c>
    </row>
    <row r="405" spans="1:19" x14ac:dyDescent="0.3">
      <c r="A405">
        <v>404</v>
      </c>
      <c r="B405" s="5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 s="6">
        <f>BikeData[[#This Row],[Temperature]]</f>
        <v>0.22</v>
      </c>
      <c r="L405">
        <f>IFERROR(VLOOKUP(BikeData[[#This Row],[Intents]],[1]!Table2[#Data],3,FALSE),"")</f>
        <v>0.8</v>
      </c>
      <c r="M405">
        <f>IFERROR(VLOOKUP(BikeData[[#This Row],[Intents]],[1]!Table2[#Data],4,FALSE),"")</f>
        <v>0.1343</v>
      </c>
      <c r="N405">
        <f>IFERROR(VLOOKUP(BikeData[[#This Row],[Intents]],[1]!Table2[#Data],5,FALSE),"")</f>
        <v>1</v>
      </c>
      <c r="O405">
        <f>IFERROR(VLOOKUP(BikeData[[#This Row],[Intents]],[1]!Table2[#Data],6,FALSE),"")</f>
        <v>98</v>
      </c>
      <c r="P405">
        <f>IFERROR(VLOOKUP(BikeData[[#This Row],[Intents]],[1]!Table2[#Data],7,FALSE),"")</f>
        <v>99</v>
      </c>
      <c r="Q405" s="2" t="str">
        <f>CHOOSE(BikeData[[#This Row],[Season]],"Spring","Summer","Fall","Winter")</f>
        <v>Spring</v>
      </c>
      <c r="R405" s="2" t="str">
        <f>CHOOSE(BikeData[[#This Row],[Weathersituation]],"Clear","Mist","Light Rain","Heavy Rain")</f>
        <v>Mist</v>
      </c>
      <c r="S405" s="2" t="str">
        <f>TEXT(BikeData[[#This Row],[Date]],"mmm")</f>
        <v>Jan</v>
      </c>
    </row>
    <row r="406" spans="1:19" x14ac:dyDescent="0.3">
      <c r="A406">
        <v>405</v>
      </c>
      <c r="B406" s="5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 s="6">
        <f>BikeData[[#This Row],[Temperature]]</f>
        <v>0.22</v>
      </c>
      <c r="L406">
        <f>IFERROR(VLOOKUP(BikeData[[#This Row],[Intents]],[1]!Table2[#Data],3,FALSE),"")</f>
        <v>0.87</v>
      </c>
      <c r="M406">
        <f>IFERROR(VLOOKUP(BikeData[[#This Row],[Intents]],[1]!Table2[#Data],4,FALSE),"")</f>
        <v>0</v>
      </c>
      <c r="N406">
        <f>IFERROR(VLOOKUP(BikeData[[#This Row],[Intents]],[1]!Table2[#Data],5,FALSE),"")</f>
        <v>0</v>
      </c>
      <c r="O406">
        <f>IFERROR(VLOOKUP(BikeData[[#This Row],[Intents]],[1]!Table2[#Data],6,FALSE),"")</f>
        <v>83</v>
      </c>
      <c r="P406">
        <f>IFERROR(VLOOKUP(BikeData[[#This Row],[Intents]],[1]!Table2[#Data],7,FALSE),"")</f>
        <v>83</v>
      </c>
      <c r="Q406" s="2" t="str">
        <f>CHOOSE(BikeData[[#This Row],[Season]],"Spring","Summer","Fall","Winter")</f>
        <v>Spring</v>
      </c>
      <c r="R406" s="2" t="str">
        <f>CHOOSE(BikeData[[#This Row],[Weathersituation]],"Clear","Mist","Light Rain","Heavy Rain")</f>
        <v>Mist</v>
      </c>
      <c r="S406" s="2" t="str">
        <f>TEXT(BikeData[[#This Row],[Date]],"mmm")</f>
        <v>Jan</v>
      </c>
    </row>
    <row r="407" spans="1:19" x14ac:dyDescent="0.3">
      <c r="A407">
        <v>406</v>
      </c>
      <c r="B407" s="5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 s="6">
        <f>BikeData[[#This Row],[Temperature]]</f>
        <v>0.22</v>
      </c>
      <c r="L407">
        <f>IFERROR(VLOOKUP(BikeData[[#This Row],[Intents]],[1]!Table2[#Data],3,FALSE),"")</f>
        <v>0.93</v>
      </c>
      <c r="M407">
        <f>IFERROR(VLOOKUP(BikeData[[#This Row],[Intents]],[1]!Table2[#Data],4,FALSE),"")</f>
        <v>0.1045</v>
      </c>
      <c r="N407">
        <f>IFERROR(VLOOKUP(BikeData[[#This Row],[Intents]],[1]!Table2[#Data],5,FALSE),"")</f>
        <v>0</v>
      </c>
      <c r="O407">
        <f>IFERROR(VLOOKUP(BikeData[[#This Row],[Intents]],[1]!Table2[#Data],6,FALSE),"")</f>
        <v>41</v>
      </c>
      <c r="P407">
        <f>IFERROR(VLOOKUP(BikeData[[#This Row],[Intents]],[1]!Table2[#Data],7,FALSE),"")</f>
        <v>41</v>
      </c>
      <c r="Q407" s="2" t="str">
        <f>CHOOSE(BikeData[[#This Row],[Season]],"Spring","Summer","Fall","Winter")</f>
        <v>Spring</v>
      </c>
      <c r="R407" s="2" t="str">
        <f>CHOOSE(BikeData[[#This Row],[Weathersituation]],"Clear","Mist","Light Rain","Heavy Rain")</f>
        <v>Mist</v>
      </c>
      <c r="S407" s="2" t="str">
        <f>TEXT(BikeData[[#This Row],[Date]],"mmm")</f>
        <v>Jan</v>
      </c>
    </row>
    <row r="408" spans="1:19" x14ac:dyDescent="0.3">
      <c r="A408">
        <v>407</v>
      </c>
      <c r="B408" s="5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 s="6">
        <f>BikeData[[#This Row],[Temperature]]</f>
        <v>0.22</v>
      </c>
      <c r="L408">
        <f>IFERROR(VLOOKUP(BikeData[[#This Row],[Intents]],[1]!Table2[#Data],3,FALSE),"")</f>
        <v>0.93</v>
      </c>
      <c r="M408">
        <f>IFERROR(VLOOKUP(BikeData[[#This Row],[Intents]],[1]!Table2[#Data],4,FALSE),"")</f>
        <v>8.9599999999999999E-2</v>
      </c>
      <c r="N408">
        <f>IFERROR(VLOOKUP(BikeData[[#This Row],[Intents]],[1]!Table2[#Data],5,FALSE),"")</f>
        <v>0</v>
      </c>
      <c r="O408">
        <f>IFERROR(VLOOKUP(BikeData[[#This Row],[Intents]],[1]!Table2[#Data],6,FALSE),"")</f>
        <v>33</v>
      </c>
      <c r="P408">
        <f>IFERROR(VLOOKUP(BikeData[[#This Row],[Intents]],[1]!Table2[#Data],7,FALSE),"")</f>
        <v>33</v>
      </c>
      <c r="Q408" s="2" t="str">
        <f>CHOOSE(BikeData[[#This Row],[Season]],"Spring","Summer","Fall","Winter")</f>
        <v>Spring</v>
      </c>
      <c r="R408" s="2" t="str">
        <f>CHOOSE(BikeData[[#This Row],[Weathersituation]],"Clear","Mist","Light Rain","Heavy Rain")</f>
        <v>Mist</v>
      </c>
      <c r="S408" s="2" t="str">
        <f>TEXT(BikeData[[#This Row],[Date]],"mmm")</f>
        <v>Jan</v>
      </c>
    </row>
    <row r="409" spans="1:19" x14ac:dyDescent="0.3">
      <c r="A409">
        <v>408</v>
      </c>
      <c r="B409" s="5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 s="6">
        <f>BikeData[[#This Row],[Temperature]]</f>
        <v>0.22</v>
      </c>
      <c r="L409">
        <f>IFERROR(VLOOKUP(BikeData[[#This Row],[Intents]],[1]!Table2[#Data],3,FALSE),"")</f>
        <v>0.93</v>
      </c>
      <c r="M409">
        <f>IFERROR(VLOOKUP(BikeData[[#This Row],[Intents]],[1]!Table2[#Data],4,FALSE),"")</f>
        <v>0</v>
      </c>
      <c r="N409">
        <f>IFERROR(VLOOKUP(BikeData[[#This Row],[Intents]],[1]!Table2[#Data],5,FALSE),"")</f>
        <v>1</v>
      </c>
      <c r="O409">
        <f>IFERROR(VLOOKUP(BikeData[[#This Row],[Intents]],[1]!Table2[#Data],6,FALSE),"")</f>
        <v>19</v>
      </c>
      <c r="P409">
        <f>IFERROR(VLOOKUP(BikeData[[#This Row],[Intents]],[1]!Table2[#Data],7,FALSE),"")</f>
        <v>20</v>
      </c>
      <c r="Q409" s="2" t="str">
        <f>CHOOSE(BikeData[[#This Row],[Season]],"Spring","Summer","Fall","Winter")</f>
        <v>Spring</v>
      </c>
      <c r="R409" s="2" t="str">
        <f>CHOOSE(BikeData[[#This Row],[Weathersituation]],"Clear","Mist","Light Rain","Heavy Rain")</f>
        <v>Mist</v>
      </c>
      <c r="S409" s="2" t="str">
        <f>TEXT(BikeData[[#This Row],[Date]],"mmm")</f>
        <v>Jan</v>
      </c>
    </row>
    <row r="410" spans="1:19" x14ac:dyDescent="0.3">
      <c r="A410">
        <v>409</v>
      </c>
      <c r="B410" s="5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 s="6">
        <f>BikeData[[#This Row],[Temperature]]</f>
        <v>0.22</v>
      </c>
      <c r="L410">
        <f>IFERROR(VLOOKUP(BikeData[[#This Row],[Intents]],[1]!Table2[#Data],3,FALSE),"")</f>
        <v>0.93</v>
      </c>
      <c r="M410">
        <f>IFERROR(VLOOKUP(BikeData[[#This Row],[Intents]],[1]!Table2[#Data],4,FALSE),"")</f>
        <v>0</v>
      </c>
      <c r="N410">
        <f>IFERROR(VLOOKUP(BikeData[[#This Row],[Intents]],[1]!Table2[#Data],5,FALSE),"")</f>
        <v>0</v>
      </c>
      <c r="O410">
        <f>IFERROR(VLOOKUP(BikeData[[#This Row],[Intents]],[1]!Table2[#Data],6,FALSE),"")</f>
        <v>3</v>
      </c>
      <c r="P410">
        <f>IFERROR(VLOOKUP(BikeData[[#This Row],[Intents]],[1]!Table2[#Data],7,FALSE),"")</f>
        <v>3</v>
      </c>
      <c r="Q410" s="2" t="str">
        <f>CHOOSE(BikeData[[#This Row],[Season]],"Spring","Summer","Fall","Winter")</f>
        <v>Spring</v>
      </c>
      <c r="R410" s="2" t="str">
        <f>CHOOSE(BikeData[[#This Row],[Weathersituation]],"Clear","Mist","Light Rain","Heavy Rain")</f>
        <v>Mist</v>
      </c>
      <c r="S410" s="2" t="str">
        <f>TEXT(BikeData[[#This Row],[Date]],"mmm")</f>
        <v>Jan</v>
      </c>
    </row>
    <row r="411" spans="1:19" x14ac:dyDescent="0.3">
      <c r="A411">
        <v>410</v>
      </c>
      <c r="B411" s="5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 s="6">
        <f>BikeData[[#This Row],[Temperature]]</f>
        <v>0.22</v>
      </c>
      <c r="L411">
        <f>IFERROR(VLOOKUP(BikeData[[#This Row],[Intents]],[1]!Table2[#Data],3,FALSE),"")</f>
        <v>0.93</v>
      </c>
      <c r="M411">
        <f>IFERROR(VLOOKUP(BikeData[[#This Row],[Intents]],[1]!Table2[#Data],4,FALSE),"")</f>
        <v>0.1343</v>
      </c>
      <c r="N411">
        <f>IFERROR(VLOOKUP(BikeData[[#This Row],[Intents]],[1]!Table2[#Data],5,FALSE),"")</f>
        <v>1</v>
      </c>
      <c r="O411">
        <f>IFERROR(VLOOKUP(BikeData[[#This Row],[Intents]],[1]!Table2[#Data],6,FALSE),"")</f>
        <v>6</v>
      </c>
      <c r="P411">
        <f>IFERROR(VLOOKUP(BikeData[[#This Row],[Intents]],[1]!Table2[#Data],7,FALSE),"")</f>
        <v>7</v>
      </c>
      <c r="Q411" s="2" t="str">
        <f>CHOOSE(BikeData[[#This Row],[Season]],"Spring","Summer","Fall","Winter")</f>
        <v>Spring</v>
      </c>
      <c r="R411" s="2" t="str">
        <f>CHOOSE(BikeData[[#This Row],[Weathersituation]],"Clear","Mist","Light Rain","Heavy Rain")</f>
        <v>Light Rain</v>
      </c>
      <c r="S411" s="2" t="str">
        <f>TEXT(BikeData[[#This Row],[Date]],"mmm")</f>
        <v>Jan</v>
      </c>
    </row>
    <row r="412" spans="1:19" x14ac:dyDescent="0.3">
      <c r="A412">
        <v>411</v>
      </c>
      <c r="B412" s="5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 s="6">
        <f>BikeData[[#This Row],[Temperature]]</f>
        <v>0.22</v>
      </c>
      <c r="L412">
        <f>IFERROR(VLOOKUP(BikeData[[#This Row],[Intents]],[1]!Table2[#Data],3,FALSE),"")</f>
        <v>0.93</v>
      </c>
      <c r="M412">
        <f>IFERROR(VLOOKUP(BikeData[[#This Row],[Intents]],[1]!Table2[#Data],4,FALSE),"")</f>
        <v>0.1343</v>
      </c>
      <c r="N412">
        <f>IFERROR(VLOOKUP(BikeData[[#This Row],[Intents]],[1]!Table2[#Data],5,FALSE),"")</f>
        <v>0</v>
      </c>
      <c r="O412">
        <f>IFERROR(VLOOKUP(BikeData[[#This Row],[Intents]],[1]!Table2[#Data],6,FALSE),"")</f>
        <v>3</v>
      </c>
      <c r="P412">
        <f>IFERROR(VLOOKUP(BikeData[[#This Row],[Intents]],[1]!Table2[#Data],7,FALSE),"")</f>
        <v>3</v>
      </c>
      <c r="Q412" s="2" t="str">
        <f>CHOOSE(BikeData[[#This Row],[Season]],"Spring","Summer","Fall","Winter")</f>
        <v>Spring</v>
      </c>
      <c r="R412" s="2" t="str">
        <f>CHOOSE(BikeData[[#This Row],[Weathersituation]],"Clear","Mist","Light Rain","Heavy Rain")</f>
        <v>Light Rain</v>
      </c>
      <c r="S412" s="2" t="str">
        <f>TEXT(BikeData[[#This Row],[Date]],"mmm")</f>
        <v>Jan</v>
      </c>
    </row>
    <row r="413" spans="1:19" x14ac:dyDescent="0.3">
      <c r="A413">
        <v>412</v>
      </c>
      <c r="B413" s="5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 s="6">
        <f>BikeData[[#This Row],[Temperature]]</f>
        <v>0.22</v>
      </c>
      <c r="L413">
        <f>IFERROR(VLOOKUP(BikeData[[#This Row],[Intents]],[1]!Table2[#Data],3,FALSE),"")</f>
        <v>0.93</v>
      </c>
      <c r="M413">
        <f>IFERROR(VLOOKUP(BikeData[[#This Row],[Intents]],[1]!Table2[#Data],4,FALSE),"")</f>
        <v>0.1343</v>
      </c>
      <c r="N413">
        <f>IFERROR(VLOOKUP(BikeData[[#This Row],[Intents]],[1]!Table2[#Data],5,FALSE),"")</f>
        <v>1</v>
      </c>
      <c r="O413">
        <f>IFERROR(VLOOKUP(BikeData[[#This Row],[Intents]],[1]!Table2[#Data],6,FALSE),"")</f>
        <v>1</v>
      </c>
      <c r="P413">
        <f>IFERROR(VLOOKUP(BikeData[[#This Row],[Intents]],[1]!Table2[#Data],7,FALSE),"")</f>
        <v>2</v>
      </c>
      <c r="Q413" s="2" t="str">
        <f>CHOOSE(BikeData[[#This Row],[Season]],"Spring","Summer","Fall","Winter")</f>
        <v>Spring</v>
      </c>
      <c r="R413" s="2" t="str">
        <f>CHOOSE(BikeData[[#This Row],[Weathersituation]],"Clear","Mist","Light Rain","Heavy Rain")</f>
        <v>Light Rain</v>
      </c>
      <c r="S413" s="2" t="str">
        <f>TEXT(BikeData[[#This Row],[Date]],"mmm")</f>
        <v>Jan</v>
      </c>
    </row>
    <row r="414" spans="1:19" x14ac:dyDescent="0.3">
      <c r="A414">
        <v>413</v>
      </c>
      <c r="B414" s="5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 s="6">
        <f>BikeData[[#This Row],[Temperature]]</f>
        <v>0.22</v>
      </c>
      <c r="L414">
        <f>IFERROR(VLOOKUP(BikeData[[#This Row],[Intents]],[1]!Table2[#Data],3,FALSE),"")</f>
        <v>0.93</v>
      </c>
      <c r="M414">
        <f>IFERROR(VLOOKUP(BikeData[[#This Row],[Intents]],[1]!Table2[#Data],4,FALSE),"")</f>
        <v>8.9599999999999999E-2</v>
      </c>
      <c r="N414">
        <f>IFERROR(VLOOKUP(BikeData[[#This Row],[Intents]],[1]!Table2[#Data],5,FALSE),"")</f>
        <v>0</v>
      </c>
      <c r="O414">
        <f>IFERROR(VLOOKUP(BikeData[[#This Row],[Intents]],[1]!Table2[#Data],6,FALSE),"")</f>
        <v>7</v>
      </c>
      <c r="P414">
        <f>IFERROR(VLOOKUP(BikeData[[#This Row],[Intents]],[1]!Table2[#Data],7,FALSE),"")</f>
        <v>7</v>
      </c>
      <c r="Q414" s="2" t="str">
        <f>CHOOSE(BikeData[[#This Row],[Season]],"Spring","Summer","Fall","Winter")</f>
        <v>Spring</v>
      </c>
      <c r="R414" s="2" t="str">
        <f>CHOOSE(BikeData[[#This Row],[Weathersituation]],"Clear","Mist","Light Rain","Heavy Rain")</f>
        <v>Mist</v>
      </c>
      <c r="S414" s="2" t="str">
        <f>TEXT(BikeData[[#This Row],[Date]],"mmm")</f>
        <v>Jan</v>
      </c>
    </row>
    <row r="415" spans="1:19" x14ac:dyDescent="0.3">
      <c r="A415">
        <v>414</v>
      </c>
      <c r="B415" s="5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 s="6">
        <f>BikeData[[#This Row],[Temperature]]</f>
        <v>0.22</v>
      </c>
      <c r="L415">
        <f>IFERROR(VLOOKUP(BikeData[[#This Row],[Intents]],[1]!Table2[#Data],3,FALSE),"")</f>
        <v>0.93</v>
      </c>
      <c r="M415">
        <f>IFERROR(VLOOKUP(BikeData[[#This Row],[Intents]],[1]!Table2[#Data],4,FALSE),"")</f>
        <v>8.9599999999999999E-2</v>
      </c>
      <c r="N415">
        <f>IFERROR(VLOOKUP(BikeData[[#This Row],[Intents]],[1]!Table2[#Data],5,FALSE),"")</f>
        <v>0</v>
      </c>
      <c r="O415">
        <f>IFERROR(VLOOKUP(BikeData[[#This Row],[Intents]],[1]!Table2[#Data],6,FALSE),"")</f>
        <v>32</v>
      </c>
      <c r="P415">
        <f>IFERROR(VLOOKUP(BikeData[[#This Row],[Intents]],[1]!Table2[#Data],7,FALSE),"")</f>
        <v>32</v>
      </c>
      <c r="Q415" s="2" t="str">
        <f>CHOOSE(BikeData[[#This Row],[Season]],"Spring","Summer","Fall","Winter")</f>
        <v>Spring</v>
      </c>
      <c r="R415" s="2" t="str">
        <f>CHOOSE(BikeData[[#This Row],[Weathersituation]],"Clear","Mist","Light Rain","Heavy Rain")</f>
        <v>Mist</v>
      </c>
      <c r="S415" s="2" t="str">
        <f>TEXT(BikeData[[#This Row],[Date]],"mmm")</f>
        <v>Jan</v>
      </c>
    </row>
    <row r="416" spans="1:19" x14ac:dyDescent="0.3">
      <c r="A416">
        <v>415</v>
      </c>
      <c r="B416" s="5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 s="6">
        <f>BikeData[[#This Row],[Temperature]]</f>
        <v>0.24</v>
      </c>
      <c r="L416">
        <f>IFERROR(VLOOKUP(BikeData[[#This Row],[Intents]],[1]!Table2[#Data],3,FALSE),"")</f>
        <v>0.92</v>
      </c>
      <c r="M416">
        <f>IFERROR(VLOOKUP(BikeData[[#This Row],[Intents]],[1]!Table2[#Data],4,FALSE),"")</f>
        <v>0.1045</v>
      </c>
      <c r="N416">
        <f>IFERROR(VLOOKUP(BikeData[[#This Row],[Intents]],[1]!Table2[#Data],5,FALSE),"")</f>
        <v>1</v>
      </c>
      <c r="O416">
        <f>IFERROR(VLOOKUP(BikeData[[#This Row],[Intents]],[1]!Table2[#Data],6,FALSE),"")</f>
        <v>89</v>
      </c>
      <c r="P416">
        <f>IFERROR(VLOOKUP(BikeData[[#This Row],[Intents]],[1]!Table2[#Data],7,FALSE),"")</f>
        <v>90</v>
      </c>
      <c r="Q416" s="2" t="str">
        <f>CHOOSE(BikeData[[#This Row],[Season]],"Spring","Summer","Fall","Winter")</f>
        <v>Spring</v>
      </c>
      <c r="R416" s="2" t="str">
        <f>CHOOSE(BikeData[[#This Row],[Weathersituation]],"Clear","Mist","Light Rain","Heavy Rain")</f>
        <v>Mist</v>
      </c>
      <c r="S416" s="2" t="str">
        <f>TEXT(BikeData[[#This Row],[Date]],"mmm")</f>
        <v>Jan</v>
      </c>
    </row>
    <row r="417" spans="1:19" x14ac:dyDescent="0.3">
      <c r="A417">
        <v>416</v>
      </c>
      <c r="B417" s="5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 s="6">
        <f>BikeData[[#This Row],[Temperature]]</f>
        <v>0.24</v>
      </c>
      <c r="L417">
        <f>IFERROR(VLOOKUP(BikeData[[#This Row],[Intents]],[1]!Table2[#Data],3,FALSE),"")</f>
        <v>0.93</v>
      </c>
      <c r="M417">
        <f>IFERROR(VLOOKUP(BikeData[[#This Row],[Intents]],[1]!Table2[#Data],4,FALSE),"")</f>
        <v>0.1045</v>
      </c>
      <c r="N417">
        <f>IFERROR(VLOOKUP(BikeData[[#This Row],[Intents]],[1]!Table2[#Data],5,FALSE),"")</f>
        <v>1</v>
      </c>
      <c r="O417">
        <f>IFERROR(VLOOKUP(BikeData[[#This Row],[Intents]],[1]!Table2[#Data],6,FALSE),"")</f>
        <v>196</v>
      </c>
      <c r="P417">
        <f>IFERROR(VLOOKUP(BikeData[[#This Row],[Intents]],[1]!Table2[#Data],7,FALSE),"")</f>
        <v>197</v>
      </c>
      <c r="Q417" s="2" t="str">
        <f>CHOOSE(BikeData[[#This Row],[Season]],"Spring","Summer","Fall","Winter")</f>
        <v>Spring</v>
      </c>
      <c r="R417" s="2" t="str">
        <f>CHOOSE(BikeData[[#This Row],[Weathersituation]],"Clear","Mist","Light Rain","Heavy Rain")</f>
        <v>Mist</v>
      </c>
      <c r="S417" s="2" t="str">
        <f>TEXT(BikeData[[#This Row],[Date]],"mmm")</f>
        <v>Jan</v>
      </c>
    </row>
    <row r="418" spans="1:19" x14ac:dyDescent="0.3">
      <c r="A418">
        <v>417</v>
      </c>
      <c r="B418" s="5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 s="6">
        <f>BikeData[[#This Row],[Temperature]]</f>
        <v>0.24</v>
      </c>
      <c r="L418">
        <f>IFERROR(VLOOKUP(BikeData[[#This Row],[Intents]],[1]!Table2[#Data],3,FALSE),"")</f>
        <v>0.93</v>
      </c>
      <c r="M418">
        <f>IFERROR(VLOOKUP(BikeData[[#This Row],[Intents]],[1]!Table2[#Data],4,FALSE),"")</f>
        <v>0.1045</v>
      </c>
      <c r="N418">
        <f>IFERROR(VLOOKUP(BikeData[[#This Row],[Intents]],[1]!Table2[#Data],5,FALSE),"")</f>
        <v>2</v>
      </c>
      <c r="O418">
        <f>IFERROR(VLOOKUP(BikeData[[#This Row],[Intents]],[1]!Table2[#Data],6,FALSE),"")</f>
        <v>107</v>
      </c>
      <c r="P418">
        <f>IFERROR(VLOOKUP(BikeData[[#This Row],[Intents]],[1]!Table2[#Data],7,FALSE),"")</f>
        <v>109</v>
      </c>
      <c r="Q418" s="2" t="str">
        <f>CHOOSE(BikeData[[#This Row],[Season]],"Spring","Summer","Fall","Winter")</f>
        <v>Spring</v>
      </c>
      <c r="R418" s="2" t="str">
        <f>CHOOSE(BikeData[[#This Row],[Weathersituation]],"Clear","Mist","Light Rain","Heavy Rain")</f>
        <v>Mist</v>
      </c>
      <c r="S418" s="2" t="str">
        <f>TEXT(BikeData[[#This Row],[Date]],"mmm")</f>
        <v>Jan</v>
      </c>
    </row>
    <row r="419" spans="1:19" x14ac:dyDescent="0.3">
      <c r="A419">
        <v>418</v>
      </c>
      <c r="B419" s="5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 s="6">
        <f>BikeData[[#This Row],[Temperature]]</f>
        <v>0.26</v>
      </c>
      <c r="L419">
        <f>IFERROR(VLOOKUP(BikeData[[#This Row],[Intents]],[1]!Table2[#Data],3,FALSE),"")</f>
        <v>0.93</v>
      </c>
      <c r="M419">
        <f>IFERROR(VLOOKUP(BikeData[[#This Row],[Intents]],[1]!Table2[#Data],4,FALSE),"")</f>
        <v>0.1343</v>
      </c>
      <c r="N419">
        <f>IFERROR(VLOOKUP(BikeData[[#This Row],[Intents]],[1]!Table2[#Data],5,FALSE),"")</f>
        <v>1</v>
      </c>
      <c r="O419">
        <f>IFERROR(VLOOKUP(BikeData[[#This Row],[Intents]],[1]!Table2[#Data],6,FALSE),"")</f>
        <v>46</v>
      </c>
      <c r="P419">
        <f>IFERROR(VLOOKUP(BikeData[[#This Row],[Intents]],[1]!Table2[#Data],7,FALSE),"")</f>
        <v>47</v>
      </c>
      <c r="Q419" s="2" t="str">
        <f>CHOOSE(BikeData[[#This Row],[Season]],"Spring","Summer","Fall","Winter")</f>
        <v>Spring</v>
      </c>
      <c r="R419" s="2" t="str">
        <f>CHOOSE(BikeData[[#This Row],[Weathersituation]],"Clear","Mist","Light Rain","Heavy Rain")</f>
        <v>Mist</v>
      </c>
      <c r="S419" s="2" t="str">
        <f>TEXT(BikeData[[#This Row],[Date]],"mmm")</f>
        <v>Jan</v>
      </c>
    </row>
    <row r="420" spans="1:19" x14ac:dyDescent="0.3">
      <c r="A420">
        <v>419</v>
      </c>
      <c r="B420" s="5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 s="6">
        <f>BikeData[[#This Row],[Temperature]]</f>
        <v>0.28000000000000003</v>
      </c>
      <c r="L420">
        <f>IFERROR(VLOOKUP(BikeData[[#This Row],[Intents]],[1]!Table2[#Data],3,FALSE),"")</f>
        <v>0.87</v>
      </c>
      <c r="M420">
        <f>IFERROR(VLOOKUP(BikeData[[#This Row],[Intents]],[1]!Table2[#Data],4,FALSE),"")</f>
        <v>8.9599999999999999E-2</v>
      </c>
      <c r="N420">
        <f>IFERROR(VLOOKUP(BikeData[[#This Row],[Intents]],[1]!Table2[#Data],5,FALSE),"")</f>
        <v>5</v>
      </c>
      <c r="O420">
        <f>IFERROR(VLOOKUP(BikeData[[#This Row],[Intents]],[1]!Table2[#Data],6,FALSE),"")</f>
        <v>47</v>
      </c>
      <c r="P420">
        <f>IFERROR(VLOOKUP(BikeData[[#This Row],[Intents]],[1]!Table2[#Data],7,FALSE),"")</f>
        <v>52</v>
      </c>
      <c r="Q420" s="2" t="str">
        <f>CHOOSE(BikeData[[#This Row],[Season]],"Spring","Summer","Fall","Winter")</f>
        <v>Spring</v>
      </c>
      <c r="R420" s="2" t="str">
        <f>CHOOSE(BikeData[[#This Row],[Weathersituation]],"Clear","Mist","Light Rain","Heavy Rain")</f>
        <v>Mist</v>
      </c>
      <c r="S420" s="2" t="str">
        <f>TEXT(BikeData[[#This Row],[Date]],"mmm")</f>
        <v>Jan</v>
      </c>
    </row>
    <row r="421" spans="1:19" x14ac:dyDescent="0.3">
      <c r="A421">
        <v>420</v>
      </c>
      <c r="B421" s="5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 s="6">
        <f>BikeData[[#This Row],[Temperature]]</f>
        <v>0.3</v>
      </c>
      <c r="L421">
        <f>IFERROR(VLOOKUP(BikeData[[#This Row],[Intents]],[1]!Table2[#Data],3,FALSE),"")</f>
        <v>0.81</v>
      </c>
      <c r="M421">
        <f>IFERROR(VLOOKUP(BikeData[[#This Row],[Intents]],[1]!Table2[#Data],4,FALSE),"")</f>
        <v>8.9599999999999999E-2</v>
      </c>
      <c r="N421">
        <f>IFERROR(VLOOKUP(BikeData[[#This Row],[Intents]],[1]!Table2[#Data],5,FALSE),"")</f>
        <v>5</v>
      </c>
      <c r="O421">
        <f>IFERROR(VLOOKUP(BikeData[[#This Row],[Intents]],[1]!Table2[#Data],6,FALSE),"")</f>
        <v>65</v>
      </c>
      <c r="P421">
        <f>IFERROR(VLOOKUP(BikeData[[#This Row],[Intents]],[1]!Table2[#Data],7,FALSE),"")</f>
        <v>70</v>
      </c>
      <c r="Q421" s="2" t="str">
        <f>CHOOSE(BikeData[[#This Row],[Season]],"Spring","Summer","Fall","Winter")</f>
        <v>Spring</v>
      </c>
      <c r="R421" s="2" t="str">
        <f>CHOOSE(BikeData[[#This Row],[Weathersituation]],"Clear","Mist","Light Rain","Heavy Rain")</f>
        <v>Mist</v>
      </c>
      <c r="S421" s="2" t="str">
        <f>TEXT(BikeData[[#This Row],[Date]],"mmm")</f>
        <v>Jan</v>
      </c>
    </row>
    <row r="422" spans="1:19" x14ac:dyDescent="0.3">
      <c r="A422">
        <v>421</v>
      </c>
      <c r="B422" s="5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 s="6">
        <f>BikeData[[#This Row],[Temperature]]</f>
        <v>0.4</v>
      </c>
      <c r="L422">
        <f>IFERROR(VLOOKUP(BikeData[[#This Row],[Intents]],[1]!Table2[#Data],3,FALSE),"")</f>
        <v>0.62</v>
      </c>
      <c r="M422">
        <f>IFERROR(VLOOKUP(BikeData[[#This Row],[Intents]],[1]!Table2[#Data],4,FALSE),"")</f>
        <v>0.28360000000000002</v>
      </c>
      <c r="N422">
        <f>IFERROR(VLOOKUP(BikeData[[#This Row],[Intents]],[1]!Table2[#Data],5,FALSE),"")</f>
        <v>11</v>
      </c>
      <c r="O422">
        <f>IFERROR(VLOOKUP(BikeData[[#This Row],[Intents]],[1]!Table2[#Data],6,FALSE),"")</f>
        <v>67</v>
      </c>
      <c r="P422">
        <f>IFERROR(VLOOKUP(BikeData[[#This Row],[Intents]],[1]!Table2[#Data],7,FALSE),"")</f>
        <v>78</v>
      </c>
      <c r="Q422" s="2" t="str">
        <f>CHOOSE(BikeData[[#This Row],[Season]],"Spring","Summer","Fall","Winter")</f>
        <v>Spring</v>
      </c>
      <c r="R422" s="2" t="str">
        <f>CHOOSE(BikeData[[#This Row],[Weathersituation]],"Clear","Mist","Light Rain","Heavy Rain")</f>
        <v>Clear</v>
      </c>
      <c r="S422" s="2" t="str">
        <f>TEXT(BikeData[[#This Row],[Date]],"mmm")</f>
        <v>Jan</v>
      </c>
    </row>
    <row r="423" spans="1:19" x14ac:dyDescent="0.3">
      <c r="A423">
        <v>422</v>
      </c>
      <c r="B423" s="5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 s="6">
        <f>BikeData[[#This Row],[Temperature]]</f>
        <v>0.4</v>
      </c>
      <c r="L423">
        <f>IFERROR(VLOOKUP(BikeData[[#This Row],[Intents]],[1]!Table2[#Data],3,FALSE),"")</f>
        <v>0.57999999999999996</v>
      </c>
      <c r="M423">
        <f>IFERROR(VLOOKUP(BikeData[[#This Row],[Intents]],[1]!Table2[#Data],4,FALSE),"")</f>
        <v>0.25369999999999998</v>
      </c>
      <c r="N423">
        <f>IFERROR(VLOOKUP(BikeData[[#This Row],[Intents]],[1]!Table2[#Data],5,FALSE),"")</f>
        <v>7</v>
      </c>
      <c r="O423">
        <f>IFERROR(VLOOKUP(BikeData[[#This Row],[Intents]],[1]!Table2[#Data],6,FALSE),"")</f>
        <v>68</v>
      </c>
      <c r="P423">
        <f>IFERROR(VLOOKUP(BikeData[[#This Row],[Intents]],[1]!Table2[#Data],7,FALSE),"")</f>
        <v>75</v>
      </c>
      <c r="Q423" s="2" t="str">
        <f>CHOOSE(BikeData[[#This Row],[Season]],"Spring","Summer","Fall","Winter")</f>
        <v>Spring</v>
      </c>
      <c r="R423" s="2" t="str">
        <f>CHOOSE(BikeData[[#This Row],[Weathersituation]],"Clear","Mist","Light Rain","Heavy Rain")</f>
        <v>Clear</v>
      </c>
      <c r="S423" s="2" t="str">
        <f>TEXT(BikeData[[#This Row],[Date]],"mmm")</f>
        <v>Jan</v>
      </c>
    </row>
    <row r="424" spans="1:19" x14ac:dyDescent="0.3">
      <c r="A424">
        <v>423</v>
      </c>
      <c r="B424" s="5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 s="6">
        <f>BikeData[[#This Row],[Temperature]]</f>
        <v>0.4</v>
      </c>
      <c r="L424">
        <f>IFERROR(VLOOKUP(BikeData[[#This Row],[Intents]],[1]!Table2[#Data],3,FALSE),"")</f>
        <v>0.54</v>
      </c>
      <c r="M424">
        <f>IFERROR(VLOOKUP(BikeData[[#This Row],[Intents]],[1]!Table2[#Data],4,FALSE),"")</f>
        <v>0.28360000000000002</v>
      </c>
      <c r="N424">
        <f>IFERROR(VLOOKUP(BikeData[[#This Row],[Intents]],[1]!Table2[#Data],5,FALSE),"")</f>
        <v>4</v>
      </c>
      <c r="O424">
        <f>IFERROR(VLOOKUP(BikeData[[#This Row],[Intents]],[1]!Table2[#Data],6,FALSE),"")</f>
        <v>78</v>
      </c>
      <c r="P424">
        <f>IFERROR(VLOOKUP(BikeData[[#This Row],[Intents]],[1]!Table2[#Data],7,FALSE),"")</f>
        <v>82</v>
      </c>
      <c r="Q424" s="2" t="str">
        <f>CHOOSE(BikeData[[#This Row],[Season]],"Spring","Summer","Fall","Winter")</f>
        <v>Spring</v>
      </c>
      <c r="R424" s="2" t="str">
        <f>CHOOSE(BikeData[[#This Row],[Weathersituation]],"Clear","Mist","Light Rain","Heavy Rain")</f>
        <v>Clear</v>
      </c>
      <c r="S424" s="2" t="str">
        <f>TEXT(BikeData[[#This Row],[Date]],"mmm")</f>
        <v>Jan</v>
      </c>
    </row>
    <row r="425" spans="1:19" x14ac:dyDescent="0.3">
      <c r="A425">
        <v>424</v>
      </c>
      <c r="B425" s="5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 s="6">
        <f>BikeData[[#This Row],[Temperature]]</f>
        <v>0.38</v>
      </c>
      <c r="L425">
        <f>IFERROR(VLOOKUP(BikeData[[#This Row],[Intents]],[1]!Table2[#Data],3,FALSE),"")</f>
        <v>0.57999999999999996</v>
      </c>
      <c r="M425">
        <f>IFERROR(VLOOKUP(BikeData[[#This Row],[Intents]],[1]!Table2[#Data],4,FALSE),"")</f>
        <v>0.3881</v>
      </c>
      <c r="N425">
        <f>IFERROR(VLOOKUP(BikeData[[#This Row],[Intents]],[1]!Table2[#Data],5,FALSE),"")</f>
        <v>10</v>
      </c>
      <c r="O425">
        <f>IFERROR(VLOOKUP(BikeData[[#This Row],[Intents]],[1]!Table2[#Data],6,FALSE),"")</f>
        <v>94</v>
      </c>
      <c r="P425">
        <f>IFERROR(VLOOKUP(BikeData[[#This Row],[Intents]],[1]!Table2[#Data],7,FALSE),"")</f>
        <v>104</v>
      </c>
      <c r="Q425" s="2" t="str">
        <f>CHOOSE(BikeData[[#This Row],[Season]],"Spring","Summer","Fall","Winter")</f>
        <v>Spring</v>
      </c>
      <c r="R425" s="2" t="str">
        <f>CHOOSE(BikeData[[#This Row],[Weathersituation]],"Clear","Mist","Light Rain","Heavy Rain")</f>
        <v>Clear</v>
      </c>
      <c r="S425" s="2" t="str">
        <f>TEXT(BikeData[[#This Row],[Date]],"mmm")</f>
        <v>Jan</v>
      </c>
    </row>
    <row r="426" spans="1:19" x14ac:dyDescent="0.3">
      <c r="A426">
        <v>425</v>
      </c>
      <c r="B426" s="5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 s="6">
        <f>BikeData[[#This Row],[Temperature]]</f>
        <v>0.36</v>
      </c>
      <c r="L426">
        <f>IFERROR(VLOOKUP(BikeData[[#This Row],[Intents]],[1]!Table2[#Data],3,FALSE),"")</f>
        <v>0.56999999999999995</v>
      </c>
      <c r="M426">
        <f>IFERROR(VLOOKUP(BikeData[[#This Row],[Intents]],[1]!Table2[#Data],4,FALSE),"")</f>
        <v>0.32840000000000003</v>
      </c>
      <c r="N426">
        <f>IFERROR(VLOOKUP(BikeData[[#This Row],[Intents]],[1]!Table2[#Data],5,FALSE),"")</f>
        <v>7</v>
      </c>
      <c r="O426">
        <f>IFERROR(VLOOKUP(BikeData[[#This Row],[Intents]],[1]!Table2[#Data],6,FALSE),"")</f>
        <v>190</v>
      </c>
      <c r="P426">
        <f>IFERROR(VLOOKUP(BikeData[[#This Row],[Intents]],[1]!Table2[#Data],7,FALSE),"")</f>
        <v>197</v>
      </c>
      <c r="Q426" s="2" t="str">
        <f>CHOOSE(BikeData[[#This Row],[Season]],"Spring","Summer","Fall","Winter")</f>
        <v>Spring</v>
      </c>
      <c r="R426" s="2" t="str">
        <f>CHOOSE(BikeData[[#This Row],[Weathersituation]],"Clear","Mist","Light Rain","Heavy Rain")</f>
        <v>Clear</v>
      </c>
      <c r="S426" s="2" t="str">
        <f>TEXT(BikeData[[#This Row],[Date]],"mmm")</f>
        <v>Jan</v>
      </c>
    </row>
    <row r="427" spans="1:19" x14ac:dyDescent="0.3">
      <c r="A427">
        <v>426</v>
      </c>
      <c r="B427" s="5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 s="6">
        <f>BikeData[[#This Row],[Temperature]]</f>
        <v>0.34</v>
      </c>
      <c r="L427">
        <f>IFERROR(VLOOKUP(BikeData[[#This Row],[Intents]],[1]!Table2[#Data],3,FALSE),"")</f>
        <v>0.61</v>
      </c>
      <c r="M427">
        <f>IFERROR(VLOOKUP(BikeData[[#This Row],[Intents]],[1]!Table2[#Data],4,FALSE),"")</f>
        <v>0.28360000000000002</v>
      </c>
      <c r="N427">
        <f>IFERROR(VLOOKUP(BikeData[[#This Row],[Intents]],[1]!Table2[#Data],5,FALSE),"")</f>
        <v>5</v>
      </c>
      <c r="O427">
        <f>IFERROR(VLOOKUP(BikeData[[#This Row],[Intents]],[1]!Table2[#Data],6,FALSE),"")</f>
        <v>156</v>
      </c>
      <c r="P427">
        <f>IFERROR(VLOOKUP(BikeData[[#This Row],[Intents]],[1]!Table2[#Data],7,FALSE),"")</f>
        <v>161</v>
      </c>
      <c r="Q427" s="2" t="str">
        <f>CHOOSE(BikeData[[#This Row],[Season]],"Spring","Summer","Fall","Winter")</f>
        <v>Spring</v>
      </c>
      <c r="R427" s="2" t="str">
        <f>CHOOSE(BikeData[[#This Row],[Weathersituation]],"Clear","Mist","Light Rain","Heavy Rain")</f>
        <v>Clear</v>
      </c>
      <c r="S427" s="2" t="str">
        <f>TEXT(BikeData[[#This Row],[Date]],"mmm")</f>
        <v>Jan</v>
      </c>
    </row>
    <row r="428" spans="1:19" x14ac:dyDescent="0.3">
      <c r="A428">
        <v>427</v>
      </c>
      <c r="B428" s="5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 s="6">
        <f>BikeData[[#This Row],[Temperature]]</f>
        <v>0.32</v>
      </c>
      <c r="L428">
        <f>IFERROR(VLOOKUP(BikeData[[#This Row],[Intents]],[1]!Table2[#Data],3,FALSE),"")</f>
        <v>0.56999999999999995</v>
      </c>
      <c r="M428">
        <f>IFERROR(VLOOKUP(BikeData[[#This Row],[Intents]],[1]!Table2[#Data],4,FALSE),"")</f>
        <v>0.41789999999999999</v>
      </c>
      <c r="N428">
        <f>IFERROR(VLOOKUP(BikeData[[#This Row],[Intents]],[1]!Table2[#Data],5,FALSE),"")</f>
        <v>4</v>
      </c>
      <c r="O428">
        <f>IFERROR(VLOOKUP(BikeData[[#This Row],[Intents]],[1]!Table2[#Data],6,FALSE),"")</f>
        <v>108</v>
      </c>
      <c r="P428">
        <f>IFERROR(VLOOKUP(BikeData[[#This Row],[Intents]],[1]!Table2[#Data],7,FALSE),"")</f>
        <v>112</v>
      </c>
      <c r="Q428" s="2" t="str">
        <f>CHOOSE(BikeData[[#This Row],[Season]],"Spring","Summer","Fall","Winter")</f>
        <v>Spring</v>
      </c>
      <c r="R428" s="2" t="str">
        <f>CHOOSE(BikeData[[#This Row],[Weathersituation]],"Clear","Mist","Light Rain","Heavy Rain")</f>
        <v>Clear</v>
      </c>
      <c r="S428" s="2" t="str">
        <f>TEXT(BikeData[[#This Row],[Date]],"mmm")</f>
        <v>Jan</v>
      </c>
    </row>
    <row r="429" spans="1:19" x14ac:dyDescent="0.3">
      <c r="A429">
        <v>428</v>
      </c>
      <c r="B429" s="5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 s="6">
        <f>BikeData[[#This Row],[Temperature]]</f>
        <v>0.32</v>
      </c>
      <c r="L429">
        <f>IFERROR(VLOOKUP(BikeData[[#This Row],[Intents]],[1]!Table2[#Data],3,FALSE),"")</f>
        <v>0.49</v>
      </c>
      <c r="M429">
        <f>IFERROR(VLOOKUP(BikeData[[#This Row],[Intents]],[1]!Table2[#Data],4,FALSE),"")</f>
        <v>0.29849999999999999</v>
      </c>
      <c r="N429">
        <f>IFERROR(VLOOKUP(BikeData[[#This Row],[Intents]],[1]!Table2[#Data],5,FALSE),"")</f>
        <v>2</v>
      </c>
      <c r="O429">
        <f>IFERROR(VLOOKUP(BikeData[[#This Row],[Intents]],[1]!Table2[#Data],6,FALSE),"")</f>
        <v>74</v>
      </c>
      <c r="P429">
        <f>IFERROR(VLOOKUP(BikeData[[#This Row],[Intents]],[1]!Table2[#Data],7,FALSE),"")</f>
        <v>76</v>
      </c>
      <c r="Q429" s="2" t="str">
        <f>CHOOSE(BikeData[[#This Row],[Season]],"Spring","Summer","Fall","Winter")</f>
        <v>Spring</v>
      </c>
      <c r="R429" s="2" t="str">
        <f>CHOOSE(BikeData[[#This Row],[Weathersituation]],"Clear","Mist","Light Rain","Heavy Rain")</f>
        <v>Clear</v>
      </c>
      <c r="S429" s="2" t="str">
        <f>TEXT(BikeData[[#This Row],[Date]],"mmm")</f>
        <v>Jan</v>
      </c>
    </row>
    <row r="430" spans="1:19" x14ac:dyDescent="0.3">
      <c r="A430">
        <v>429</v>
      </c>
      <c r="B430" s="5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 s="6">
        <f>BikeData[[#This Row],[Temperature]]</f>
        <v>0.32</v>
      </c>
      <c r="L430">
        <f>IFERROR(VLOOKUP(BikeData[[#This Row],[Intents]],[1]!Table2[#Data],3,FALSE),"")</f>
        <v>0.49</v>
      </c>
      <c r="M430">
        <f>IFERROR(VLOOKUP(BikeData[[#This Row],[Intents]],[1]!Table2[#Data],4,FALSE),"")</f>
        <v>0.41789999999999999</v>
      </c>
      <c r="N430">
        <f>IFERROR(VLOOKUP(BikeData[[#This Row],[Intents]],[1]!Table2[#Data],5,FALSE),"")</f>
        <v>4</v>
      </c>
      <c r="O430">
        <f>IFERROR(VLOOKUP(BikeData[[#This Row],[Intents]],[1]!Table2[#Data],6,FALSE),"")</f>
        <v>55</v>
      </c>
      <c r="P430">
        <f>IFERROR(VLOOKUP(BikeData[[#This Row],[Intents]],[1]!Table2[#Data],7,FALSE),"")</f>
        <v>59</v>
      </c>
      <c r="Q430" s="2" t="str">
        <f>CHOOSE(BikeData[[#This Row],[Season]],"Spring","Summer","Fall","Winter")</f>
        <v>Spring</v>
      </c>
      <c r="R430" s="2" t="str">
        <f>CHOOSE(BikeData[[#This Row],[Weathersituation]],"Clear","Mist","Light Rain","Heavy Rain")</f>
        <v>Clear</v>
      </c>
      <c r="S430" s="2" t="str">
        <f>TEXT(BikeData[[#This Row],[Date]],"mmm")</f>
        <v>Jan</v>
      </c>
    </row>
    <row r="431" spans="1:19" x14ac:dyDescent="0.3">
      <c r="A431">
        <v>430</v>
      </c>
      <c r="B431" s="5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 s="6">
        <f>BikeData[[#This Row],[Temperature]]</f>
        <v>0.3</v>
      </c>
      <c r="L431">
        <f>IFERROR(VLOOKUP(BikeData[[#This Row],[Intents]],[1]!Table2[#Data],3,FALSE),"")</f>
        <v>0.52</v>
      </c>
      <c r="M431">
        <f>IFERROR(VLOOKUP(BikeData[[#This Row],[Intents]],[1]!Table2[#Data],4,FALSE),"")</f>
        <v>0.16420000000000001</v>
      </c>
      <c r="N431">
        <f>IFERROR(VLOOKUP(BikeData[[#This Row],[Intents]],[1]!Table2[#Data],5,FALSE),"")</f>
        <v>6</v>
      </c>
      <c r="O431">
        <f>IFERROR(VLOOKUP(BikeData[[#This Row],[Intents]],[1]!Table2[#Data],6,FALSE),"")</f>
        <v>53</v>
      </c>
      <c r="P431">
        <f>IFERROR(VLOOKUP(BikeData[[#This Row],[Intents]],[1]!Table2[#Data],7,FALSE),"")</f>
        <v>59</v>
      </c>
      <c r="Q431" s="2" t="str">
        <f>CHOOSE(BikeData[[#This Row],[Season]],"Spring","Summer","Fall","Winter")</f>
        <v>Spring</v>
      </c>
      <c r="R431" s="2" t="str">
        <f>CHOOSE(BikeData[[#This Row],[Weathersituation]],"Clear","Mist","Light Rain","Heavy Rain")</f>
        <v>Clear</v>
      </c>
      <c r="S431" s="2" t="str">
        <f>TEXT(BikeData[[#This Row],[Date]],"mmm")</f>
        <v>Jan</v>
      </c>
    </row>
    <row r="432" spans="1:19" x14ac:dyDescent="0.3">
      <c r="A432">
        <v>431</v>
      </c>
      <c r="B432" s="5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 s="6">
        <f>BikeData[[#This Row],[Temperature]]</f>
        <v>0.3</v>
      </c>
      <c r="L432">
        <f>IFERROR(VLOOKUP(BikeData[[#This Row],[Intents]],[1]!Table2[#Data],3,FALSE),"")</f>
        <v>0.52</v>
      </c>
      <c r="M432">
        <f>IFERROR(VLOOKUP(BikeData[[#This Row],[Intents]],[1]!Table2[#Data],4,FALSE),"")</f>
        <v>0.4627</v>
      </c>
      <c r="N432">
        <f>IFERROR(VLOOKUP(BikeData[[#This Row],[Intents]],[1]!Table2[#Data],5,FALSE),"")</f>
        <v>1</v>
      </c>
      <c r="O432">
        <f>IFERROR(VLOOKUP(BikeData[[#This Row],[Intents]],[1]!Table2[#Data],6,FALSE),"")</f>
        <v>27</v>
      </c>
      <c r="P432">
        <f>IFERROR(VLOOKUP(BikeData[[#This Row],[Intents]],[1]!Table2[#Data],7,FALSE),"")</f>
        <v>28</v>
      </c>
      <c r="Q432" s="2" t="str">
        <f>CHOOSE(BikeData[[#This Row],[Season]],"Spring","Summer","Fall","Winter")</f>
        <v>Spring</v>
      </c>
      <c r="R432" s="2" t="str">
        <f>CHOOSE(BikeData[[#This Row],[Weathersituation]],"Clear","Mist","Light Rain","Heavy Rain")</f>
        <v>Clear</v>
      </c>
      <c r="S432" s="2" t="str">
        <f>TEXT(BikeData[[#This Row],[Date]],"mmm")</f>
        <v>Jan</v>
      </c>
    </row>
    <row r="433" spans="1:19" x14ac:dyDescent="0.3">
      <c r="A433">
        <v>432</v>
      </c>
      <c r="B433" s="5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 s="6">
        <f>BikeData[[#This Row],[Temperature]]</f>
        <v>0.26</v>
      </c>
      <c r="L433">
        <f>IFERROR(VLOOKUP(BikeData[[#This Row],[Intents]],[1]!Table2[#Data],3,FALSE),"")</f>
        <v>0.56000000000000005</v>
      </c>
      <c r="M433">
        <f>IFERROR(VLOOKUP(BikeData[[#This Row],[Intents]],[1]!Table2[#Data],4,FALSE),"")</f>
        <v>0.3881</v>
      </c>
      <c r="N433">
        <f>IFERROR(VLOOKUP(BikeData[[#This Row],[Intents]],[1]!Table2[#Data],5,FALSE),"")</f>
        <v>5</v>
      </c>
      <c r="O433">
        <f>IFERROR(VLOOKUP(BikeData[[#This Row],[Intents]],[1]!Table2[#Data],6,FALSE),"")</f>
        <v>8</v>
      </c>
      <c r="P433">
        <f>IFERROR(VLOOKUP(BikeData[[#This Row],[Intents]],[1]!Table2[#Data],7,FALSE),"")</f>
        <v>13</v>
      </c>
      <c r="Q433" s="2" t="str">
        <f>CHOOSE(BikeData[[#This Row],[Season]],"Spring","Summer","Fall","Winter")</f>
        <v>Spring</v>
      </c>
      <c r="R433" s="2" t="str">
        <f>CHOOSE(BikeData[[#This Row],[Weathersituation]],"Clear","Mist","Light Rain","Heavy Rain")</f>
        <v>Clear</v>
      </c>
      <c r="S433" s="2" t="str">
        <f>TEXT(BikeData[[#This Row],[Date]],"mmm")</f>
        <v>Jan</v>
      </c>
    </row>
    <row r="434" spans="1:19" x14ac:dyDescent="0.3">
      <c r="A434">
        <v>433</v>
      </c>
      <c r="B434" s="5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 s="6">
        <f>BikeData[[#This Row],[Temperature]]</f>
        <v>0.26</v>
      </c>
      <c r="L434">
        <f>IFERROR(VLOOKUP(BikeData[[#This Row],[Intents]],[1]!Table2[#Data],3,FALSE),"")</f>
        <v>0.56000000000000005</v>
      </c>
      <c r="M434">
        <f>IFERROR(VLOOKUP(BikeData[[#This Row],[Intents]],[1]!Table2[#Data],4,FALSE),"")</f>
        <v>0</v>
      </c>
      <c r="N434">
        <f>IFERROR(VLOOKUP(BikeData[[#This Row],[Intents]],[1]!Table2[#Data],5,FALSE),"")</f>
        <v>2</v>
      </c>
      <c r="O434">
        <f>IFERROR(VLOOKUP(BikeData[[#This Row],[Intents]],[1]!Table2[#Data],6,FALSE),"")</f>
        <v>3</v>
      </c>
      <c r="P434">
        <f>IFERROR(VLOOKUP(BikeData[[#This Row],[Intents]],[1]!Table2[#Data],7,FALSE),"")</f>
        <v>5</v>
      </c>
      <c r="Q434" s="2" t="str">
        <f>CHOOSE(BikeData[[#This Row],[Season]],"Spring","Summer","Fall","Winter")</f>
        <v>Spring</v>
      </c>
      <c r="R434" s="2" t="str">
        <f>CHOOSE(BikeData[[#This Row],[Weathersituation]],"Clear","Mist","Light Rain","Heavy Rain")</f>
        <v>Clear</v>
      </c>
      <c r="S434" s="2" t="str">
        <f>TEXT(BikeData[[#This Row],[Date]],"mmm")</f>
        <v>Jan</v>
      </c>
    </row>
    <row r="435" spans="1:19" x14ac:dyDescent="0.3">
      <c r="A435">
        <v>434</v>
      </c>
      <c r="B435" s="5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 s="6">
        <f>BikeData[[#This Row],[Temperature]]</f>
        <v>0.26</v>
      </c>
      <c r="L435">
        <f>IFERROR(VLOOKUP(BikeData[[#This Row],[Intents]],[1]!Table2[#Data],3,FALSE),"")</f>
        <v>0.56000000000000005</v>
      </c>
      <c r="M435">
        <f>IFERROR(VLOOKUP(BikeData[[#This Row],[Intents]],[1]!Table2[#Data],4,FALSE),"")</f>
        <v>0</v>
      </c>
      <c r="N435">
        <f>IFERROR(VLOOKUP(BikeData[[#This Row],[Intents]],[1]!Table2[#Data],5,FALSE),"")</f>
        <v>0</v>
      </c>
      <c r="O435">
        <f>IFERROR(VLOOKUP(BikeData[[#This Row],[Intents]],[1]!Table2[#Data],6,FALSE),"")</f>
        <v>2</v>
      </c>
      <c r="P435">
        <f>IFERROR(VLOOKUP(BikeData[[#This Row],[Intents]],[1]!Table2[#Data],7,FALSE),"")</f>
        <v>2</v>
      </c>
      <c r="Q435" s="2" t="str">
        <f>CHOOSE(BikeData[[#This Row],[Season]],"Spring","Summer","Fall","Winter")</f>
        <v>Spring</v>
      </c>
      <c r="R435" s="2" t="str">
        <f>CHOOSE(BikeData[[#This Row],[Weathersituation]],"Clear","Mist","Light Rain","Heavy Rain")</f>
        <v>Clear</v>
      </c>
      <c r="S435" s="2" t="str">
        <f>TEXT(BikeData[[#This Row],[Date]],"mmm")</f>
        <v>Jan</v>
      </c>
    </row>
    <row r="436" spans="1:19" x14ac:dyDescent="0.3">
      <c r="A436">
        <v>435</v>
      </c>
      <c r="B436" s="5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 s="6">
        <f>BikeData[[#This Row],[Temperature]]</f>
        <v>0.26</v>
      </c>
      <c r="L436">
        <f>IFERROR(VLOOKUP(BikeData[[#This Row],[Intents]],[1]!Table2[#Data],3,FALSE),"")</f>
        <v>0.56000000000000005</v>
      </c>
      <c r="M436">
        <f>IFERROR(VLOOKUP(BikeData[[#This Row],[Intents]],[1]!Table2[#Data],4,FALSE),"")</f>
        <v>0.16420000000000001</v>
      </c>
      <c r="N436">
        <f>IFERROR(VLOOKUP(BikeData[[#This Row],[Intents]],[1]!Table2[#Data],5,FALSE),"")</f>
        <v>0</v>
      </c>
      <c r="O436">
        <f>IFERROR(VLOOKUP(BikeData[[#This Row],[Intents]],[1]!Table2[#Data],6,FALSE),"")</f>
        <v>1</v>
      </c>
      <c r="P436">
        <f>IFERROR(VLOOKUP(BikeData[[#This Row],[Intents]],[1]!Table2[#Data],7,FALSE),"")</f>
        <v>1</v>
      </c>
      <c r="Q436" s="2" t="str">
        <f>CHOOSE(BikeData[[#This Row],[Season]],"Spring","Summer","Fall","Winter")</f>
        <v>Spring</v>
      </c>
      <c r="R436" s="2" t="str">
        <f>CHOOSE(BikeData[[#This Row],[Weathersituation]],"Clear","Mist","Light Rain","Heavy Rain")</f>
        <v>Clear</v>
      </c>
      <c r="S436" s="2" t="str">
        <f>TEXT(BikeData[[#This Row],[Date]],"mmm")</f>
        <v>Jan</v>
      </c>
    </row>
    <row r="437" spans="1:19" x14ac:dyDescent="0.3">
      <c r="A437">
        <v>436</v>
      </c>
      <c r="B437" s="5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 s="6">
        <f>BikeData[[#This Row],[Temperature]]</f>
        <v>0.26</v>
      </c>
      <c r="L437">
        <f>IFERROR(VLOOKUP(BikeData[[#This Row],[Intents]],[1]!Table2[#Data],3,FALSE),"")</f>
        <v>0.56000000000000005</v>
      </c>
      <c r="M437">
        <f>IFERROR(VLOOKUP(BikeData[[#This Row],[Intents]],[1]!Table2[#Data],4,FALSE),"")</f>
        <v>0.16420000000000001</v>
      </c>
      <c r="N437">
        <f>IFERROR(VLOOKUP(BikeData[[#This Row],[Intents]],[1]!Table2[#Data],5,FALSE),"")</f>
        <v>0</v>
      </c>
      <c r="O437">
        <f>IFERROR(VLOOKUP(BikeData[[#This Row],[Intents]],[1]!Table2[#Data],6,FALSE),"")</f>
        <v>1</v>
      </c>
      <c r="P437">
        <f>IFERROR(VLOOKUP(BikeData[[#This Row],[Intents]],[1]!Table2[#Data],7,FALSE),"")</f>
        <v>1</v>
      </c>
      <c r="Q437" s="2" t="str">
        <f>CHOOSE(BikeData[[#This Row],[Season]],"Spring","Summer","Fall","Winter")</f>
        <v>Spring</v>
      </c>
      <c r="R437" s="2" t="str">
        <f>CHOOSE(BikeData[[#This Row],[Weathersituation]],"Clear","Mist","Light Rain","Heavy Rain")</f>
        <v>Clear</v>
      </c>
      <c r="S437" s="2" t="str">
        <f>TEXT(BikeData[[#This Row],[Date]],"mmm")</f>
        <v>Jan</v>
      </c>
    </row>
    <row r="438" spans="1:19" x14ac:dyDescent="0.3">
      <c r="A438">
        <v>437</v>
      </c>
      <c r="B438" s="5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 s="6">
        <f>BikeData[[#This Row],[Temperature]]</f>
        <v>0.24</v>
      </c>
      <c r="L438">
        <f>IFERROR(VLOOKUP(BikeData[[#This Row],[Intents]],[1]!Table2[#Data],3,FALSE),"")</f>
        <v>0.6</v>
      </c>
      <c r="M438">
        <f>IFERROR(VLOOKUP(BikeData[[#This Row],[Intents]],[1]!Table2[#Data],4,FALSE),"")</f>
        <v>0.22389999999999999</v>
      </c>
      <c r="N438">
        <f>IFERROR(VLOOKUP(BikeData[[#This Row],[Intents]],[1]!Table2[#Data],5,FALSE),"")</f>
        <v>0</v>
      </c>
      <c r="O438">
        <f>IFERROR(VLOOKUP(BikeData[[#This Row],[Intents]],[1]!Table2[#Data],6,FALSE),"")</f>
        <v>6</v>
      </c>
      <c r="P438">
        <f>IFERROR(VLOOKUP(BikeData[[#This Row],[Intents]],[1]!Table2[#Data],7,FALSE),"")</f>
        <v>6</v>
      </c>
      <c r="Q438" s="2" t="str">
        <f>CHOOSE(BikeData[[#This Row],[Season]],"Spring","Summer","Fall","Winter")</f>
        <v>Spring</v>
      </c>
      <c r="R438" s="2" t="str">
        <f>CHOOSE(BikeData[[#This Row],[Weathersituation]],"Clear","Mist","Light Rain","Heavy Rain")</f>
        <v>Clear</v>
      </c>
      <c r="S438" s="2" t="str">
        <f>TEXT(BikeData[[#This Row],[Date]],"mmm")</f>
        <v>Jan</v>
      </c>
    </row>
    <row r="439" spans="1:19" x14ac:dyDescent="0.3">
      <c r="A439">
        <v>438</v>
      </c>
      <c r="B439" s="5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 s="6">
        <f>BikeData[[#This Row],[Temperature]]</f>
        <v>0.22</v>
      </c>
      <c r="L439">
        <f>IFERROR(VLOOKUP(BikeData[[#This Row],[Intents]],[1]!Table2[#Data],3,FALSE),"")</f>
        <v>0.6</v>
      </c>
      <c r="M439">
        <f>IFERROR(VLOOKUP(BikeData[[#This Row],[Intents]],[1]!Table2[#Data],4,FALSE),"")</f>
        <v>0.22389999999999999</v>
      </c>
      <c r="N439">
        <f>IFERROR(VLOOKUP(BikeData[[#This Row],[Intents]],[1]!Table2[#Data],5,FALSE),"")</f>
        <v>0</v>
      </c>
      <c r="O439">
        <f>IFERROR(VLOOKUP(BikeData[[#This Row],[Intents]],[1]!Table2[#Data],6,FALSE),"")</f>
        <v>35</v>
      </c>
      <c r="P439">
        <f>IFERROR(VLOOKUP(BikeData[[#This Row],[Intents]],[1]!Table2[#Data],7,FALSE),"")</f>
        <v>35</v>
      </c>
      <c r="Q439" s="2" t="str">
        <f>CHOOSE(BikeData[[#This Row],[Season]],"Spring","Summer","Fall","Winter")</f>
        <v>Spring</v>
      </c>
      <c r="R439" s="2" t="str">
        <f>CHOOSE(BikeData[[#This Row],[Weathersituation]],"Clear","Mist","Light Rain","Heavy Rain")</f>
        <v>Clear</v>
      </c>
      <c r="S439" s="2" t="str">
        <f>TEXT(BikeData[[#This Row],[Date]],"mmm")</f>
        <v>Jan</v>
      </c>
    </row>
    <row r="440" spans="1:19" x14ac:dyDescent="0.3">
      <c r="A440">
        <v>439</v>
      </c>
      <c r="B440" s="5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 s="6">
        <f>BikeData[[#This Row],[Temperature]]</f>
        <v>0.22</v>
      </c>
      <c r="L440">
        <f>IFERROR(VLOOKUP(BikeData[[#This Row],[Intents]],[1]!Table2[#Data],3,FALSE),"")</f>
        <v>0.55000000000000004</v>
      </c>
      <c r="M440">
        <f>IFERROR(VLOOKUP(BikeData[[#This Row],[Intents]],[1]!Table2[#Data],4,FALSE),"")</f>
        <v>0.22389999999999999</v>
      </c>
      <c r="N440">
        <f>IFERROR(VLOOKUP(BikeData[[#This Row],[Intents]],[1]!Table2[#Data],5,FALSE),"")</f>
        <v>1</v>
      </c>
      <c r="O440">
        <f>IFERROR(VLOOKUP(BikeData[[#This Row],[Intents]],[1]!Table2[#Data],6,FALSE),"")</f>
        <v>100</v>
      </c>
      <c r="P440">
        <f>IFERROR(VLOOKUP(BikeData[[#This Row],[Intents]],[1]!Table2[#Data],7,FALSE),"")</f>
        <v>101</v>
      </c>
      <c r="Q440" s="2" t="str">
        <f>CHOOSE(BikeData[[#This Row],[Season]],"Spring","Summer","Fall","Winter")</f>
        <v>Spring</v>
      </c>
      <c r="R440" s="2" t="str">
        <f>CHOOSE(BikeData[[#This Row],[Weathersituation]],"Clear","Mist","Light Rain","Heavy Rain")</f>
        <v>Clear</v>
      </c>
      <c r="S440" s="2" t="str">
        <f>TEXT(BikeData[[#This Row],[Date]],"mmm")</f>
        <v>Jan</v>
      </c>
    </row>
    <row r="441" spans="1:19" x14ac:dyDescent="0.3">
      <c r="A441">
        <v>440</v>
      </c>
      <c r="B441" s="5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 s="6">
        <f>BikeData[[#This Row],[Temperature]]</f>
        <v>0.22</v>
      </c>
      <c r="L441">
        <f>IFERROR(VLOOKUP(BikeData[[#This Row],[Intents]],[1]!Table2[#Data],3,FALSE),"")</f>
        <v>0.55000000000000004</v>
      </c>
      <c r="M441">
        <f>IFERROR(VLOOKUP(BikeData[[#This Row],[Intents]],[1]!Table2[#Data],4,FALSE),"")</f>
        <v>0.28360000000000002</v>
      </c>
      <c r="N441">
        <f>IFERROR(VLOOKUP(BikeData[[#This Row],[Intents]],[1]!Table2[#Data],5,FALSE),"")</f>
        <v>2</v>
      </c>
      <c r="O441">
        <f>IFERROR(VLOOKUP(BikeData[[#This Row],[Intents]],[1]!Table2[#Data],6,FALSE),"")</f>
        <v>247</v>
      </c>
      <c r="P441">
        <f>IFERROR(VLOOKUP(BikeData[[#This Row],[Intents]],[1]!Table2[#Data],7,FALSE),"")</f>
        <v>249</v>
      </c>
      <c r="Q441" s="2" t="str">
        <f>CHOOSE(BikeData[[#This Row],[Season]],"Spring","Summer","Fall","Winter")</f>
        <v>Spring</v>
      </c>
      <c r="R441" s="2" t="str">
        <f>CHOOSE(BikeData[[#This Row],[Weathersituation]],"Clear","Mist","Light Rain","Heavy Rain")</f>
        <v>Clear</v>
      </c>
      <c r="S441" s="2" t="str">
        <f>TEXT(BikeData[[#This Row],[Date]],"mmm")</f>
        <v>Jan</v>
      </c>
    </row>
    <row r="442" spans="1:19" x14ac:dyDescent="0.3">
      <c r="A442">
        <v>441</v>
      </c>
      <c r="B442" s="5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 s="6">
        <f>BikeData[[#This Row],[Temperature]]</f>
        <v>0.24</v>
      </c>
      <c r="L442">
        <f>IFERROR(VLOOKUP(BikeData[[#This Row],[Intents]],[1]!Table2[#Data],3,FALSE),"")</f>
        <v>0.52</v>
      </c>
      <c r="M442">
        <f>IFERROR(VLOOKUP(BikeData[[#This Row],[Intents]],[1]!Table2[#Data],4,FALSE),"")</f>
        <v>0.22389999999999999</v>
      </c>
      <c r="N442">
        <f>IFERROR(VLOOKUP(BikeData[[#This Row],[Intents]],[1]!Table2[#Data],5,FALSE),"")</f>
        <v>3</v>
      </c>
      <c r="O442">
        <f>IFERROR(VLOOKUP(BikeData[[#This Row],[Intents]],[1]!Table2[#Data],6,FALSE),"")</f>
        <v>140</v>
      </c>
      <c r="P442">
        <f>IFERROR(VLOOKUP(BikeData[[#This Row],[Intents]],[1]!Table2[#Data],7,FALSE),"")</f>
        <v>143</v>
      </c>
      <c r="Q442" s="2" t="str">
        <f>CHOOSE(BikeData[[#This Row],[Season]],"Spring","Summer","Fall","Winter")</f>
        <v>Spring</v>
      </c>
      <c r="R442" s="2" t="str">
        <f>CHOOSE(BikeData[[#This Row],[Weathersituation]],"Clear","Mist","Light Rain","Heavy Rain")</f>
        <v>Mist</v>
      </c>
      <c r="S442" s="2" t="str">
        <f>TEXT(BikeData[[#This Row],[Date]],"mmm")</f>
        <v>Jan</v>
      </c>
    </row>
    <row r="443" spans="1:19" x14ac:dyDescent="0.3">
      <c r="A443">
        <v>442</v>
      </c>
      <c r="B443" s="5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 s="6">
        <f>BikeData[[#This Row],[Temperature]]</f>
        <v>0.26</v>
      </c>
      <c r="L443">
        <f>IFERROR(VLOOKUP(BikeData[[#This Row],[Intents]],[1]!Table2[#Data],3,FALSE),"")</f>
        <v>0.48</v>
      </c>
      <c r="M443">
        <f>IFERROR(VLOOKUP(BikeData[[#This Row],[Intents]],[1]!Table2[#Data],4,FALSE),"")</f>
        <v>0.29849999999999999</v>
      </c>
      <c r="N443">
        <f>IFERROR(VLOOKUP(BikeData[[#This Row],[Intents]],[1]!Table2[#Data],5,FALSE),"")</f>
        <v>1</v>
      </c>
      <c r="O443">
        <f>IFERROR(VLOOKUP(BikeData[[#This Row],[Intents]],[1]!Table2[#Data],6,FALSE),"")</f>
        <v>56</v>
      </c>
      <c r="P443">
        <f>IFERROR(VLOOKUP(BikeData[[#This Row],[Intents]],[1]!Table2[#Data],7,FALSE),"")</f>
        <v>57</v>
      </c>
      <c r="Q443" s="2" t="str">
        <f>CHOOSE(BikeData[[#This Row],[Season]],"Spring","Summer","Fall","Winter")</f>
        <v>Spring</v>
      </c>
      <c r="R443" s="2" t="str">
        <f>CHOOSE(BikeData[[#This Row],[Weathersituation]],"Clear","Mist","Light Rain","Heavy Rain")</f>
        <v>Clear</v>
      </c>
      <c r="S443" s="2" t="str">
        <f>TEXT(BikeData[[#This Row],[Date]],"mmm")</f>
        <v>Jan</v>
      </c>
    </row>
    <row r="444" spans="1:19" x14ac:dyDescent="0.3">
      <c r="A444">
        <v>443</v>
      </c>
      <c r="B444" s="5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 s="6">
        <f>BikeData[[#This Row],[Temperature]]</f>
        <v>0.28000000000000003</v>
      </c>
      <c r="L444">
        <f>IFERROR(VLOOKUP(BikeData[[#This Row],[Intents]],[1]!Table2[#Data],3,FALSE),"")</f>
        <v>0.45</v>
      </c>
      <c r="M444">
        <f>IFERROR(VLOOKUP(BikeData[[#This Row],[Intents]],[1]!Table2[#Data],4,FALSE),"")</f>
        <v>0.16420000000000001</v>
      </c>
      <c r="N444">
        <f>IFERROR(VLOOKUP(BikeData[[#This Row],[Intents]],[1]!Table2[#Data],5,FALSE),"")</f>
        <v>5</v>
      </c>
      <c r="O444">
        <f>IFERROR(VLOOKUP(BikeData[[#This Row],[Intents]],[1]!Table2[#Data],6,FALSE),"")</f>
        <v>63</v>
      </c>
      <c r="P444">
        <f>IFERROR(VLOOKUP(BikeData[[#This Row],[Intents]],[1]!Table2[#Data],7,FALSE),"")</f>
        <v>68</v>
      </c>
      <c r="Q444" s="2" t="str">
        <f>CHOOSE(BikeData[[#This Row],[Season]],"Spring","Summer","Fall","Winter")</f>
        <v>Spring</v>
      </c>
      <c r="R444" s="2" t="str">
        <f>CHOOSE(BikeData[[#This Row],[Weathersituation]],"Clear","Mist","Light Rain","Heavy Rain")</f>
        <v>Mist</v>
      </c>
      <c r="S444" s="2" t="str">
        <f>TEXT(BikeData[[#This Row],[Date]],"mmm")</f>
        <v>Jan</v>
      </c>
    </row>
    <row r="445" spans="1:19" x14ac:dyDescent="0.3">
      <c r="A445">
        <v>444</v>
      </c>
      <c r="B445" s="5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 s="6">
        <f>BikeData[[#This Row],[Temperature]]</f>
        <v>0.3</v>
      </c>
      <c r="L445">
        <f>IFERROR(VLOOKUP(BikeData[[#This Row],[Intents]],[1]!Table2[#Data],3,FALSE),"")</f>
        <v>0.42</v>
      </c>
      <c r="M445">
        <f>IFERROR(VLOOKUP(BikeData[[#This Row],[Intents]],[1]!Table2[#Data],4,FALSE),"")</f>
        <v>0</v>
      </c>
      <c r="N445">
        <f>IFERROR(VLOOKUP(BikeData[[#This Row],[Intents]],[1]!Table2[#Data],5,FALSE),"")</f>
        <v>7</v>
      </c>
      <c r="O445">
        <f>IFERROR(VLOOKUP(BikeData[[#This Row],[Intents]],[1]!Table2[#Data],6,FALSE),"")</f>
        <v>77</v>
      </c>
      <c r="P445">
        <f>IFERROR(VLOOKUP(BikeData[[#This Row],[Intents]],[1]!Table2[#Data],7,FALSE),"")</f>
        <v>84</v>
      </c>
      <c r="Q445" s="2" t="str">
        <f>CHOOSE(BikeData[[#This Row],[Season]],"Spring","Summer","Fall","Winter")</f>
        <v>Spring</v>
      </c>
      <c r="R445" s="2" t="str">
        <f>CHOOSE(BikeData[[#This Row],[Weathersituation]],"Clear","Mist","Light Rain","Heavy Rain")</f>
        <v>Mist</v>
      </c>
      <c r="S445" s="2" t="str">
        <f>TEXT(BikeData[[#This Row],[Date]],"mmm")</f>
        <v>Jan</v>
      </c>
    </row>
    <row r="446" spans="1:19" x14ac:dyDescent="0.3">
      <c r="A446">
        <v>445</v>
      </c>
      <c r="B446" s="5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 s="6">
        <f>BikeData[[#This Row],[Temperature]]</f>
        <v>0.28000000000000003</v>
      </c>
      <c r="L446">
        <f>IFERROR(VLOOKUP(BikeData[[#This Row],[Intents]],[1]!Table2[#Data],3,FALSE),"")</f>
        <v>0.45</v>
      </c>
      <c r="M446">
        <f>IFERROR(VLOOKUP(BikeData[[#This Row],[Intents]],[1]!Table2[#Data],4,FALSE),"")</f>
        <v>0.1045</v>
      </c>
      <c r="N446">
        <f>IFERROR(VLOOKUP(BikeData[[#This Row],[Intents]],[1]!Table2[#Data],5,FALSE),"")</f>
        <v>12</v>
      </c>
      <c r="O446">
        <f>IFERROR(VLOOKUP(BikeData[[#This Row],[Intents]],[1]!Table2[#Data],6,FALSE),"")</f>
        <v>86</v>
      </c>
      <c r="P446">
        <f>IFERROR(VLOOKUP(BikeData[[#This Row],[Intents]],[1]!Table2[#Data],7,FALSE),"")</f>
        <v>98</v>
      </c>
      <c r="Q446" s="2" t="str">
        <f>CHOOSE(BikeData[[#This Row],[Season]],"Spring","Summer","Fall","Winter")</f>
        <v>Spring</v>
      </c>
      <c r="R446" s="2" t="str">
        <f>CHOOSE(BikeData[[#This Row],[Weathersituation]],"Clear","Mist","Light Rain","Heavy Rain")</f>
        <v>Mist</v>
      </c>
      <c r="S446" s="2" t="str">
        <f>TEXT(BikeData[[#This Row],[Date]],"mmm")</f>
        <v>Jan</v>
      </c>
    </row>
    <row r="447" spans="1:19" x14ac:dyDescent="0.3">
      <c r="A447">
        <v>446</v>
      </c>
      <c r="B447" s="5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 s="6">
        <f>BikeData[[#This Row],[Temperature]]</f>
        <v>0.3</v>
      </c>
      <c r="L447">
        <f>IFERROR(VLOOKUP(BikeData[[#This Row],[Intents]],[1]!Table2[#Data],3,FALSE),"")</f>
        <v>0.45</v>
      </c>
      <c r="M447">
        <f>IFERROR(VLOOKUP(BikeData[[#This Row],[Intents]],[1]!Table2[#Data],4,FALSE),"")</f>
        <v>0.1343</v>
      </c>
      <c r="N447">
        <f>IFERROR(VLOOKUP(BikeData[[#This Row],[Intents]],[1]!Table2[#Data],5,FALSE),"")</f>
        <v>6</v>
      </c>
      <c r="O447">
        <f>IFERROR(VLOOKUP(BikeData[[#This Row],[Intents]],[1]!Table2[#Data],6,FALSE),"")</f>
        <v>75</v>
      </c>
      <c r="P447">
        <f>IFERROR(VLOOKUP(BikeData[[#This Row],[Intents]],[1]!Table2[#Data],7,FALSE),"")</f>
        <v>81</v>
      </c>
      <c r="Q447" s="2" t="str">
        <f>CHOOSE(BikeData[[#This Row],[Season]],"Spring","Summer","Fall","Winter")</f>
        <v>Spring</v>
      </c>
      <c r="R447" s="2" t="str">
        <f>CHOOSE(BikeData[[#This Row],[Weathersituation]],"Clear","Mist","Light Rain","Heavy Rain")</f>
        <v>Mist</v>
      </c>
      <c r="S447" s="2" t="str">
        <f>TEXT(BikeData[[#This Row],[Date]],"mmm")</f>
        <v>Jan</v>
      </c>
    </row>
    <row r="448" spans="1:19" x14ac:dyDescent="0.3">
      <c r="A448">
        <v>447</v>
      </c>
      <c r="B448" s="5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 s="6">
        <f>BikeData[[#This Row],[Temperature]]</f>
        <v>0.32</v>
      </c>
      <c r="L448">
        <f>IFERROR(VLOOKUP(BikeData[[#This Row],[Intents]],[1]!Table2[#Data],3,FALSE),"")</f>
        <v>0.45</v>
      </c>
      <c r="M448">
        <f>IFERROR(VLOOKUP(BikeData[[#This Row],[Intents]],[1]!Table2[#Data],4,FALSE),"")</f>
        <v>0.19400000000000001</v>
      </c>
      <c r="N448">
        <f>IFERROR(VLOOKUP(BikeData[[#This Row],[Intents]],[1]!Table2[#Data],5,FALSE),"")</f>
        <v>8</v>
      </c>
      <c r="O448">
        <f>IFERROR(VLOOKUP(BikeData[[#This Row],[Intents]],[1]!Table2[#Data],6,FALSE),"")</f>
        <v>62</v>
      </c>
      <c r="P448">
        <f>IFERROR(VLOOKUP(BikeData[[#This Row],[Intents]],[1]!Table2[#Data],7,FALSE),"")</f>
        <v>70</v>
      </c>
      <c r="Q448" s="2" t="str">
        <f>CHOOSE(BikeData[[#This Row],[Season]],"Spring","Summer","Fall","Winter")</f>
        <v>Spring</v>
      </c>
      <c r="R448" s="2" t="str">
        <f>CHOOSE(BikeData[[#This Row],[Weathersituation]],"Clear","Mist","Light Rain","Heavy Rain")</f>
        <v>Mist</v>
      </c>
      <c r="S448" s="2" t="str">
        <f>TEXT(BikeData[[#This Row],[Date]],"mmm")</f>
        <v>Jan</v>
      </c>
    </row>
    <row r="449" spans="1:19" x14ac:dyDescent="0.3">
      <c r="A449">
        <v>448</v>
      </c>
      <c r="B449" s="5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 s="6">
        <f>BikeData[[#This Row],[Temperature]]</f>
        <v>0.3</v>
      </c>
      <c r="L449">
        <f>IFERROR(VLOOKUP(BikeData[[#This Row],[Intents]],[1]!Table2[#Data],3,FALSE),"")</f>
        <v>0.49</v>
      </c>
      <c r="M449">
        <f>IFERROR(VLOOKUP(BikeData[[#This Row],[Intents]],[1]!Table2[#Data],4,FALSE),"")</f>
        <v>0.1343</v>
      </c>
      <c r="N449">
        <f>IFERROR(VLOOKUP(BikeData[[#This Row],[Intents]],[1]!Table2[#Data],5,FALSE),"")</f>
        <v>8</v>
      </c>
      <c r="O449">
        <f>IFERROR(VLOOKUP(BikeData[[#This Row],[Intents]],[1]!Table2[#Data],6,FALSE),"")</f>
        <v>83</v>
      </c>
      <c r="P449">
        <f>IFERROR(VLOOKUP(BikeData[[#This Row],[Intents]],[1]!Table2[#Data],7,FALSE),"")</f>
        <v>91</v>
      </c>
      <c r="Q449" s="2" t="str">
        <f>CHOOSE(BikeData[[#This Row],[Season]],"Spring","Summer","Fall","Winter")</f>
        <v>Spring</v>
      </c>
      <c r="R449" s="2" t="str">
        <f>CHOOSE(BikeData[[#This Row],[Weathersituation]],"Clear","Mist","Light Rain","Heavy Rain")</f>
        <v>Mist</v>
      </c>
      <c r="S449" s="2" t="str">
        <f>TEXT(BikeData[[#This Row],[Date]],"mmm")</f>
        <v>Jan</v>
      </c>
    </row>
    <row r="450" spans="1:19" x14ac:dyDescent="0.3">
      <c r="A450">
        <v>449</v>
      </c>
      <c r="B450" s="5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 s="6">
        <f>BikeData[[#This Row],[Temperature]]</f>
        <v>0.3</v>
      </c>
      <c r="L450">
        <f>IFERROR(VLOOKUP(BikeData[[#This Row],[Intents]],[1]!Table2[#Data],3,FALSE),"")</f>
        <v>0.49</v>
      </c>
      <c r="M450">
        <f>IFERROR(VLOOKUP(BikeData[[#This Row],[Intents]],[1]!Table2[#Data],4,FALSE),"")</f>
        <v>0.1045</v>
      </c>
      <c r="N450">
        <f>IFERROR(VLOOKUP(BikeData[[#This Row],[Intents]],[1]!Table2[#Data],5,FALSE),"")</f>
        <v>8</v>
      </c>
      <c r="O450">
        <f>IFERROR(VLOOKUP(BikeData[[#This Row],[Intents]],[1]!Table2[#Data],6,FALSE),"")</f>
        <v>207</v>
      </c>
      <c r="P450">
        <f>IFERROR(VLOOKUP(BikeData[[#This Row],[Intents]],[1]!Table2[#Data],7,FALSE),"")</f>
        <v>215</v>
      </c>
      <c r="Q450" s="2" t="str">
        <f>CHOOSE(BikeData[[#This Row],[Season]],"Spring","Summer","Fall","Winter")</f>
        <v>Spring</v>
      </c>
      <c r="R450" s="2" t="str">
        <f>CHOOSE(BikeData[[#This Row],[Weathersituation]],"Clear","Mist","Light Rain","Heavy Rain")</f>
        <v>Mist</v>
      </c>
      <c r="S450" s="2" t="str">
        <f>TEXT(BikeData[[#This Row],[Date]],"mmm")</f>
        <v>Jan</v>
      </c>
    </row>
    <row r="451" spans="1:19" x14ac:dyDescent="0.3">
      <c r="A451">
        <v>450</v>
      </c>
      <c r="B451" s="5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 s="6">
        <f>BikeData[[#This Row],[Temperature]]</f>
        <v>0.26</v>
      </c>
      <c r="L451">
        <f>IFERROR(VLOOKUP(BikeData[[#This Row],[Intents]],[1]!Table2[#Data],3,FALSE),"")</f>
        <v>0.56000000000000005</v>
      </c>
      <c r="M451">
        <f>IFERROR(VLOOKUP(BikeData[[#This Row],[Intents]],[1]!Table2[#Data],4,FALSE),"")</f>
        <v>0.19400000000000001</v>
      </c>
      <c r="N451">
        <f>IFERROR(VLOOKUP(BikeData[[#This Row],[Intents]],[1]!Table2[#Data],5,FALSE),"")</f>
        <v>1</v>
      </c>
      <c r="O451">
        <f>IFERROR(VLOOKUP(BikeData[[#This Row],[Intents]],[1]!Table2[#Data],6,FALSE),"")</f>
        <v>184</v>
      </c>
      <c r="P451">
        <f>IFERROR(VLOOKUP(BikeData[[#This Row],[Intents]],[1]!Table2[#Data],7,FALSE),"")</f>
        <v>185</v>
      </c>
      <c r="Q451" s="2" t="str">
        <f>CHOOSE(BikeData[[#This Row],[Season]],"Spring","Summer","Fall","Winter")</f>
        <v>Spring</v>
      </c>
      <c r="R451" s="2" t="str">
        <f>CHOOSE(BikeData[[#This Row],[Weathersituation]],"Clear","Mist","Light Rain","Heavy Rain")</f>
        <v>Mist</v>
      </c>
      <c r="S451" s="2" t="str">
        <f>TEXT(BikeData[[#This Row],[Date]],"mmm")</f>
        <v>Jan</v>
      </c>
    </row>
    <row r="452" spans="1:19" x14ac:dyDescent="0.3">
      <c r="A452">
        <v>451</v>
      </c>
      <c r="B452" s="5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 s="6">
        <f>BikeData[[#This Row],[Temperature]]</f>
        <v>0.26</v>
      </c>
      <c r="L452">
        <f>IFERROR(VLOOKUP(BikeData[[#This Row],[Intents]],[1]!Table2[#Data],3,FALSE),"")</f>
        <v>0.56000000000000005</v>
      </c>
      <c r="M452">
        <f>IFERROR(VLOOKUP(BikeData[[#This Row],[Intents]],[1]!Table2[#Data],4,FALSE),"")</f>
        <v>0.32840000000000003</v>
      </c>
      <c r="N452">
        <f>IFERROR(VLOOKUP(BikeData[[#This Row],[Intents]],[1]!Table2[#Data],5,FALSE),"")</f>
        <v>6</v>
      </c>
      <c r="O452">
        <f>IFERROR(VLOOKUP(BikeData[[#This Row],[Intents]],[1]!Table2[#Data],6,FALSE),"")</f>
        <v>146</v>
      </c>
      <c r="P452">
        <f>IFERROR(VLOOKUP(BikeData[[#This Row],[Intents]],[1]!Table2[#Data],7,FALSE),"")</f>
        <v>152</v>
      </c>
      <c r="Q452" s="2" t="str">
        <f>CHOOSE(BikeData[[#This Row],[Season]],"Spring","Summer","Fall","Winter")</f>
        <v>Spring</v>
      </c>
      <c r="R452" s="2" t="str">
        <f>CHOOSE(BikeData[[#This Row],[Weathersituation]],"Clear","Mist","Light Rain","Heavy Rain")</f>
        <v>Clear</v>
      </c>
      <c r="S452" s="2" t="str">
        <f>TEXT(BikeData[[#This Row],[Date]],"mmm")</f>
        <v>Jan</v>
      </c>
    </row>
    <row r="453" spans="1:19" x14ac:dyDescent="0.3">
      <c r="A453">
        <v>452</v>
      </c>
      <c r="B453" s="5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 s="6">
        <f>BikeData[[#This Row],[Temperature]]</f>
        <v>0.26</v>
      </c>
      <c r="L453">
        <f>IFERROR(VLOOKUP(BikeData[[#This Row],[Intents]],[1]!Table2[#Data],3,FALSE),"")</f>
        <v>0.6</v>
      </c>
      <c r="M453">
        <f>IFERROR(VLOOKUP(BikeData[[#This Row],[Intents]],[1]!Table2[#Data],4,FALSE),"")</f>
        <v>0.28360000000000002</v>
      </c>
      <c r="N453">
        <f>IFERROR(VLOOKUP(BikeData[[#This Row],[Intents]],[1]!Table2[#Data],5,FALSE),"")</f>
        <v>2</v>
      </c>
      <c r="O453">
        <f>IFERROR(VLOOKUP(BikeData[[#This Row],[Intents]],[1]!Table2[#Data],6,FALSE),"")</f>
        <v>124</v>
      </c>
      <c r="P453">
        <f>IFERROR(VLOOKUP(BikeData[[#This Row],[Intents]],[1]!Table2[#Data],7,FALSE),"")</f>
        <v>126</v>
      </c>
      <c r="Q453" s="2" t="str">
        <f>CHOOSE(BikeData[[#This Row],[Season]],"Spring","Summer","Fall","Winter")</f>
        <v>Spring</v>
      </c>
      <c r="R453" s="2" t="str">
        <f>CHOOSE(BikeData[[#This Row],[Weathersituation]],"Clear","Mist","Light Rain","Heavy Rain")</f>
        <v>Mist</v>
      </c>
      <c r="S453" s="2" t="str">
        <f>TEXT(BikeData[[#This Row],[Date]],"mmm")</f>
        <v>Jan</v>
      </c>
    </row>
    <row r="454" spans="1:19" x14ac:dyDescent="0.3">
      <c r="A454">
        <v>453</v>
      </c>
      <c r="B454" s="5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 s="6">
        <f>BikeData[[#This Row],[Temperature]]</f>
        <v>0.24</v>
      </c>
      <c r="L454">
        <f>IFERROR(VLOOKUP(BikeData[[#This Row],[Intents]],[1]!Table2[#Data],3,FALSE),"")</f>
        <v>0.6</v>
      </c>
      <c r="M454">
        <f>IFERROR(VLOOKUP(BikeData[[#This Row],[Intents]],[1]!Table2[#Data],4,FALSE),"")</f>
        <v>0.25369999999999998</v>
      </c>
      <c r="N454">
        <f>IFERROR(VLOOKUP(BikeData[[#This Row],[Intents]],[1]!Table2[#Data],5,FALSE),"")</f>
        <v>3</v>
      </c>
      <c r="O454">
        <f>IFERROR(VLOOKUP(BikeData[[#This Row],[Intents]],[1]!Table2[#Data],6,FALSE),"")</f>
        <v>54</v>
      </c>
      <c r="P454">
        <f>IFERROR(VLOOKUP(BikeData[[#This Row],[Intents]],[1]!Table2[#Data],7,FALSE),"")</f>
        <v>57</v>
      </c>
      <c r="Q454" s="2" t="str">
        <f>CHOOSE(BikeData[[#This Row],[Season]],"Spring","Summer","Fall","Winter")</f>
        <v>Spring</v>
      </c>
      <c r="R454" s="2" t="str">
        <f>CHOOSE(BikeData[[#This Row],[Weathersituation]],"Clear","Mist","Light Rain","Heavy Rain")</f>
        <v>Mist</v>
      </c>
      <c r="S454" s="2" t="str">
        <f>TEXT(BikeData[[#This Row],[Date]],"mmm")</f>
        <v>Jan</v>
      </c>
    </row>
    <row r="455" spans="1:19" x14ac:dyDescent="0.3">
      <c r="A455">
        <v>454</v>
      </c>
      <c r="B455" s="5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 s="6">
        <f>BikeData[[#This Row],[Temperature]]</f>
        <v>0.24</v>
      </c>
      <c r="L455">
        <f>IFERROR(VLOOKUP(BikeData[[#This Row],[Intents]],[1]!Table2[#Data],3,FALSE),"")</f>
        <v>0.65</v>
      </c>
      <c r="M455">
        <f>IFERROR(VLOOKUP(BikeData[[#This Row],[Intents]],[1]!Table2[#Data],4,FALSE),"")</f>
        <v>0.28360000000000002</v>
      </c>
      <c r="N455">
        <f>IFERROR(VLOOKUP(BikeData[[#This Row],[Intents]],[1]!Table2[#Data],5,FALSE),"")</f>
        <v>0</v>
      </c>
      <c r="O455">
        <f>IFERROR(VLOOKUP(BikeData[[#This Row],[Intents]],[1]!Table2[#Data],6,FALSE),"")</f>
        <v>56</v>
      </c>
      <c r="P455">
        <f>IFERROR(VLOOKUP(BikeData[[#This Row],[Intents]],[1]!Table2[#Data],7,FALSE),"")</f>
        <v>56</v>
      </c>
      <c r="Q455" s="2" t="str">
        <f>CHOOSE(BikeData[[#This Row],[Season]],"Spring","Summer","Fall","Winter")</f>
        <v>Spring</v>
      </c>
      <c r="R455" s="2" t="str">
        <f>CHOOSE(BikeData[[#This Row],[Weathersituation]],"Clear","Mist","Light Rain","Heavy Rain")</f>
        <v>Mist</v>
      </c>
      <c r="S455" s="2" t="str">
        <f>TEXT(BikeData[[#This Row],[Date]],"mmm")</f>
        <v>Jan</v>
      </c>
    </row>
    <row r="456" spans="1:19" x14ac:dyDescent="0.3">
      <c r="A456">
        <v>455</v>
      </c>
      <c r="B456" s="5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 s="6">
        <f>BikeData[[#This Row],[Temperature]]</f>
        <v>0.24</v>
      </c>
      <c r="L456">
        <f>IFERROR(VLOOKUP(BikeData[[#This Row],[Intents]],[1]!Table2[#Data],3,FALSE),"")</f>
        <v>0.65</v>
      </c>
      <c r="M456">
        <f>IFERROR(VLOOKUP(BikeData[[#This Row],[Intents]],[1]!Table2[#Data],4,FALSE),"")</f>
        <v>0.32840000000000003</v>
      </c>
      <c r="N456">
        <f>IFERROR(VLOOKUP(BikeData[[#This Row],[Intents]],[1]!Table2[#Data],5,FALSE),"")</f>
        <v>3</v>
      </c>
      <c r="O456">
        <f>IFERROR(VLOOKUP(BikeData[[#This Row],[Intents]],[1]!Table2[#Data],6,FALSE),"")</f>
        <v>28</v>
      </c>
      <c r="P456">
        <f>IFERROR(VLOOKUP(BikeData[[#This Row],[Intents]],[1]!Table2[#Data],7,FALSE),"")</f>
        <v>31</v>
      </c>
      <c r="Q456" s="2" t="str">
        <f>CHOOSE(BikeData[[#This Row],[Season]],"Spring","Summer","Fall","Winter")</f>
        <v>Spring</v>
      </c>
      <c r="R456" s="2" t="str">
        <f>CHOOSE(BikeData[[#This Row],[Weathersituation]],"Clear","Mist","Light Rain","Heavy Rain")</f>
        <v>Mist</v>
      </c>
      <c r="S456" s="2" t="str">
        <f>TEXT(BikeData[[#This Row],[Date]],"mmm")</f>
        <v>Jan</v>
      </c>
    </row>
    <row r="457" spans="1:19" x14ac:dyDescent="0.3">
      <c r="A457">
        <v>456</v>
      </c>
      <c r="B457" s="5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 s="6">
        <f>BikeData[[#This Row],[Temperature]]</f>
        <v>0.24</v>
      </c>
      <c r="L457">
        <f>IFERROR(VLOOKUP(BikeData[[#This Row],[Intents]],[1]!Table2[#Data],3,FALSE),"")</f>
        <v>0.7</v>
      </c>
      <c r="M457">
        <f>IFERROR(VLOOKUP(BikeData[[#This Row],[Intents]],[1]!Table2[#Data],4,FALSE),"")</f>
        <v>0.25369999999999998</v>
      </c>
      <c r="N457">
        <f>IFERROR(VLOOKUP(BikeData[[#This Row],[Intents]],[1]!Table2[#Data],5,FALSE),"")</f>
        <v>1</v>
      </c>
      <c r="O457">
        <f>IFERROR(VLOOKUP(BikeData[[#This Row],[Intents]],[1]!Table2[#Data],6,FALSE),"")</f>
        <v>20</v>
      </c>
      <c r="P457">
        <f>IFERROR(VLOOKUP(BikeData[[#This Row],[Intents]],[1]!Table2[#Data],7,FALSE),"")</f>
        <v>21</v>
      </c>
      <c r="Q457" s="2" t="str">
        <f>CHOOSE(BikeData[[#This Row],[Season]],"Spring","Summer","Fall","Winter")</f>
        <v>Spring</v>
      </c>
      <c r="R457" s="2" t="str">
        <f>CHOOSE(BikeData[[#This Row],[Weathersituation]],"Clear","Mist","Light Rain","Heavy Rain")</f>
        <v>Mist</v>
      </c>
      <c r="S457" s="2" t="str">
        <f>TEXT(BikeData[[#This Row],[Date]],"mmm")</f>
        <v>Jan</v>
      </c>
    </row>
    <row r="458" spans="1:19" x14ac:dyDescent="0.3">
      <c r="A458">
        <v>457</v>
      </c>
      <c r="B458" s="5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 s="6">
        <f>BikeData[[#This Row],[Temperature]]</f>
        <v>0.24</v>
      </c>
      <c r="L458">
        <f>IFERROR(VLOOKUP(BikeData[[#This Row],[Intents]],[1]!Table2[#Data],3,FALSE),"")</f>
        <v>0.7</v>
      </c>
      <c r="M458">
        <f>IFERROR(VLOOKUP(BikeData[[#This Row],[Intents]],[1]!Table2[#Data],4,FALSE),"")</f>
        <v>0.25369999999999998</v>
      </c>
      <c r="N458">
        <f>IFERROR(VLOOKUP(BikeData[[#This Row],[Intents]],[1]!Table2[#Data],5,FALSE),"")</f>
        <v>0</v>
      </c>
      <c r="O458">
        <f>IFERROR(VLOOKUP(BikeData[[#This Row],[Intents]],[1]!Table2[#Data],6,FALSE),"")</f>
        <v>6</v>
      </c>
      <c r="P458">
        <f>IFERROR(VLOOKUP(BikeData[[#This Row],[Intents]],[1]!Table2[#Data],7,FALSE),"")</f>
        <v>6</v>
      </c>
      <c r="Q458" s="2" t="str">
        <f>CHOOSE(BikeData[[#This Row],[Season]],"Spring","Summer","Fall","Winter")</f>
        <v>Spring</v>
      </c>
      <c r="R458" s="2" t="str">
        <f>CHOOSE(BikeData[[#This Row],[Weathersituation]],"Clear","Mist","Light Rain","Heavy Rain")</f>
        <v>Mist</v>
      </c>
      <c r="S458" s="2" t="str">
        <f>TEXT(BikeData[[#This Row],[Date]],"mmm")</f>
        <v>Jan</v>
      </c>
    </row>
    <row r="459" spans="1:19" x14ac:dyDescent="0.3">
      <c r="A459">
        <v>458</v>
      </c>
      <c r="B459" s="5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 s="6">
        <f>BikeData[[#This Row],[Temperature]]</f>
        <v>0.24</v>
      </c>
      <c r="L459">
        <f>IFERROR(VLOOKUP(BikeData[[#This Row],[Intents]],[1]!Table2[#Data],3,FALSE),"")</f>
        <v>0.75</v>
      </c>
      <c r="M459">
        <f>IFERROR(VLOOKUP(BikeData[[#This Row],[Intents]],[1]!Table2[#Data],4,FALSE),"")</f>
        <v>0.16420000000000001</v>
      </c>
      <c r="N459">
        <f>IFERROR(VLOOKUP(BikeData[[#This Row],[Intents]],[1]!Table2[#Data],5,FALSE),"")</f>
        <v>0</v>
      </c>
      <c r="O459">
        <f>IFERROR(VLOOKUP(BikeData[[#This Row],[Intents]],[1]!Table2[#Data],6,FALSE),"")</f>
        <v>2</v>
      </c>
      <c r="P459">
        <f>IFERROR(VLOOKUP(BikeData[[#This Row],[Intents]],[1]!Table2[#Data],7,FALSE),"")</f>
        <v>2</v>
      </c>
      <c r="Q459" s="2" t="str">
        <f>CHOOSE(BikeData[[#This Row],[Season]],"Spring","Summer","Fall","Winter")</f>
        <v>Spring</v>
      </c>
      <c r="R459" s="2" t="str">
        <f>CHOOSE(BikeData[[#This Row],[Weathersituation]],"Clear","Mist","Light Rain","Heavy Rain")</f>
        <v>Light Rain</v>
      </c>
      <c r="S459" s="2" t="str">
        <f>TEXT(BikeData[[#This Row],[Date]],"mmm")</f>
        <v>Jan</v>
      </c>
    </row>
    <row r="460" spans="1:19" x14ac:dyDescent="0.3">
      <c r="A460">
        <v>459</v>
      </c>
      <c r="B460" s="5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 s="6">
        <f>BikeData[[#This Row],[Temperature]]</f>
        <v>0.22</v>
      </c>
      <c r="L460">
        <f>IFERROR(VLOOKUP(BikeData[[#This Row],[Intents]],[1]!Table2[#Data],3,FALSE),"")</f>
        <v>0.8</v>
      </c>
      <c r="M460">
        <f>IFERROR(VLOOKUP(BikeData[[#This Row],[Intents]],[1]!Table2[#Data],4,FALSE),"")</f>
        <v>0.29849999999999999</v>
      </c>
      <c r="N460">
        <f>IFERROR(VLOOKUP(BikeData[[#This Row],[Intents]],[1]!Table2[#Data],5,FALSE),"")</f>
        <v>0</v>
      </c>
      <c r="O460">
        <f>IFERROR(VLOOKUP(BikeData[[#This Row],[Intents]],[1]!Table2[#Data],6,FALSE),"")</f>
        <v>1</v>
      </c>
      <c r="P460">
        <f>IFERROR(VLOOKUP(BikeData[[#This Row],[Intents]],[1]!Table2[#Data],7,FALSE),"")</f>
        <v>1</v>
      </c>
      <c r="Q460" s="2" t="str">
        <f>CHOOSE(BikeData[[#This Row],[Season]],"Spring","Summer","Fall","Winter")</f>
        <v>Spring</v>
      </c>
      <c r="R460" s="2" t="str">
        <f>CHOOSE(BikeData[[#This Row],[Weathersituation]],"Clear","Mist","Light Rain","Heavy Rain")</f>
        <v>Light Rain</v>
      </c>
      <c r="S460" s="2" t="str">
        <f>TEXT(BikeData[[#This Row],[Date]],"mmm")</f>
        <v>Jan</v>
      </c>
    </row>
    <row r="461" spans="1:19" x14ac:dyDescent="0.3">
      <c r="A461">
        <v>460</v>
      </c>
      <c r="B461" s="5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 s="6">
        <f>BikeData[[#This Row],[Temperature]]</f>
        <v>0.22</v>
      </c>
      <c r="L461">
        <f>IFERROR(VLOOKUP(BikeData[[#This Row],[Intents]],[1]!Table2[#Data],3,FALSE),"")</f>
        <v>0.87</v>
      </c>
      <c r="M461">
        <f>IFERROR(VLOOKUP(BikeData[[#This Row],[Intents]],[1]!Table2[#Data],4,FALSE),"")</f>
        <v>8.9599999999999999E-2</v>
      </c>
      <c r="N461">
        <f>IFERROR(VLOOKUP(BikeData[[#This Row],[Intents]],[1]!Table2[#Data],5,FALSE),"")</f>
        <v>0</v>
      </c>
      <c r="O461">
        <f>IFERROR(VLOOKUP(BikeData[[#This Row],[Intents]],[1]!Table2[#Data],6,FALSE),"")</f>
        <v>1</v>
      </c>
      <c r="P461">
        <f>IFERROR(VLOOKUP(BikeData[[#This Row],[Intents]],[1]!Table2[#Data],7,FALSE),"")</f>
        <v>1</v>
      </c>
      <c r="Q461" s="2" t="str">
        <f>CHOOSE(BikeData[[#This Row],[Season]],"Spring","Summer","Fall","Winter")</f>
        <v>Spring</v>
      </c>
      <c r="R461" s="2" t="str">
        <f>CHOOSE(BikeData[[#This Row],[Weathersituation]],"Clear","Mist","Light Rain","Heavy Rain")</f>
        <v>Mist</v>
      </c>
      <c r="S461" s="2" t="str">
        <f>TEXT(BikeData[[#This Row],[Date]],"mmm")</f>
        <v>Jan</v>
      </c>
    </row>
    <row r="462" spans="1:19" x14ac:dyDescent="0.3">
      <c r="A462">
        <v>461</v>
      </c>
      <c r="B462" s="5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 s="6">
        <f>BikeData[[#This Row],[Temperature]]</f>
        <v>0.24</v>
      </c>
      <c r="L462">
        <f>IFERROR(VLOOKUP(BikeData[[#This Row],[Intents]],[1]!Table2[#Data],3,FALSE),"")</f>
        <v>0.6</v>
      </c>
      <c r="M462">
        <f>IFERROR(VLOOKUP(BikeData[[#This Row],[Intents]],[1]!Table2[#Data],4,FALSE),"")</f>
        <v>0.41789999999999999</v>
      </c>
      <c r="N462">
        <f>IFERROR(VLOOKUP(BikeData[[#This Row],[Intents]],[1]!Table2[#Data],5,FALSE),"")</f>
        <v>1</v>
      </c>
      <c r="O462">
        <f>IFERROR(VLOOKUP(BikeData[[#This Row],[Intents]],[1]!Table2[#Data],6,FALSE),"")</f>
        <v>4</v>
      </c>
      <c r="P462">
        <f>IFERROR(VLOOKUP(BikeData[[#This Row],[Intents]],[1]!Table2[#Data],7,FALSE),"")</f>
        <v>5</v>
      </c>
      <c r="Q462" s="2" t="str">
        <f>CHOOSE(BikeData[[#This Row],[Season]],"Spring","Summer","Fall","Winter")</f>
        <v>Spring</v>
      </c>
      <c r="R462" s="2" t="str">
        <f>CHOOSE(BikeData[[#This Row],[Weathersituation]],"Clear","Mist","Light Rain","Heavy Rain")</f>
        <v>Clear</v>
      </c>
      <c r="S462" s="2" t="str">
        <f>TEXT(BikeData[[#This Row],[Date]],"mmm")</f>
        <v>Jan</v>
      </c>
    </row>
    <row r="463" spans="1:19" x14ac:dyDescent="0.3">
      <c r="A463">
        <v>462</v>
      </c>
      <c r="B463" s="5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 s="6">
        <f>BikeData[[#This Row],[Temperature]]</f>
        <v>0.22</v>
      </c>
      <c r="L463">
        <f>IFERROR(VLOOKUP(BikeData[[#This Row],[Intents]],[1]!Table2[#Data],3,FALSE),"")</f>
        <v>0.55000000000000004</v>
      </c>
      <c r="M463">
        <f>IFERROR(VLOOKUP(BikeData[[#This Row],[Intents]],[1]!Table2[#Data],4,FALSE),"")</f>
        <v>0.25369999999999998</v>
      </c>
      <c r="N463">
        <f>IFERROR(VLOOKUP(BikeData[[#This Row],[Intents]],[1]!Table2[#Data],5,FALSE),"")</f>
        <v>0</v>
      </c>
      <c r="O463">
        <f>IFERROR(VLOOKUP(BikeData[[#This Row],[Intents]],[1]!Table2[#Data],6,FALSE),"")</f>
        <v>27</v>
      </c>
      <c r="P463">
        <f>IFERROR(VLOOKUP(BikeData[[#This Row],[Intents]],[1]!Table2[#Data],7,FALSE),"")</f>
        <v>27</v>
      </c>
      <c r="Q463" s="2" t="str">
        <f>CHOOSE(BikeData[[#This Row],[Season]],"Spring","Summer","Fall","Winter")</f>
        <v>Spring</v>
      </c>
      <c r="R463" s="2" t="str">
        <f>CHOOSE(BikeData[[#This Row],[Weathersituation]],"Clear","Mist","Light Rain","Heavy Rain")</f>
        <v>Clear</v>
      </c>
      <c r="S463" s="2" t="str">
        <f>TEXT(BikeData[[#This Row],[Date]],"mmm")</f>
        <v>Jan</v>
      </c>
    </row>
    <row r="464" spans="1:19" x14ac:dyDescent="0.3">
      <c r="A464">
        <v>463</v>
      </c>
      <c r="B464" s="5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 s="6">
        <f>BikeData[[#This Row],[Temperature]]</f>
        <v>0.2</v>
      </c>
      <c r="L464">
        <f>IFERROR(VLOOKUP(BikeData[[#This Row],[Intents]],[1]!Table2[#Data],3,FALSE),"")</f>
        <v>0.51</v>
      </c>
      <c r="M464">
        <f>IFERROR(VLOOKUP(BikeData[[#This Row],[Intents]],[1]!Table2[#Data],4,FALSE),"")</f>
        <v>0.28360000000000002</v>
      </c>
      <c r="N464">
        <f>IFERROR(VLOOKUP(BikeData[[#This Row],[Intents]],[1]!Table2[#Data],5,FALSE),"")</f>
        <v>2</v>
      </c>
      <c r="O464">
        <f>IFERROR(VLOOKUP(BikeData[[#This Row],[Intents]],[1]!Table2[#Data],6,FALSE),"")</f>
        <v>66</v>
      </c>
      <c r="P464">
        <f>IFERROR(VLOOKUP(BikeData[[#This Row],[Intents]],[1]!Table2[#Data],7,FALSE),"")</f>
        <v>68</v>
      </c>
      <c r="Q464" s="2" t="str">
        <f>CHOOSE(BikeData[[#This Row],[Season]],"Spring","Summer","Fall","Winter")</f>
        <v>Spring</v>
      </c>
      <c r="R464" s="2" t="str">
        <f>CHOOSE(BikeData[[#This Row],[Weathersituation]],"Clear","Mist","Light Rain","Heavy Rain")</f>
        <v>Clear</v>
      </c>
      <c r="S464" s="2" t="str">
        <f>TEXT(BikeData[[#This Row],[Date]],"mmm")</f>
        <v>Jan</v>
      </c>
    </row>
    <row r="465" spans="1:19" x14ac:dyDescent="0.3">
      <c r="A465">
        <v>464</v>
      </c>
      <c r="B465" s="5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 s="6">
        <f>BikeData[[#This Row],[Temperature]]</f>
        <v>0.2</v>
      </c>
      <c r="L465">
        <f>IFERROR(VLOOKUP(BikeData[[#This Row],[Intents]],[1]!Table2[#Data],3,FALSE),"")</f>
        <v>0.47</v>
      </c>
      <c r="M465">
        <f>IFERROR(VLOOKUP(BikeData[[#This Row],[Intents]],[1]!Table2[#Data],4,FALSE),"")</f>
        <v>0.32840000000000003</v>
      </c>
      <c r="N465">
        <f>IFERROR(VLOOKUP(BikeData[[#This Row],[Intents]],[1]!Table2[#Data],5,FALSE),"")</f>
        <v>7</v>
      </c>
      <c r="O465">
        <f>IFERROR(VLOOKUP(BikeData[[#This Row],[Intents]],[1]!Table2[#Data],6,FALSE),"")</f>
        <v>210</v>
      </c>
      <c r="P465">
        <f>IFERROR(VLOOKUP(BikeData[[#This Row],[Intents]],[1]!Table2[#Data],7,FALSE),"")</f>
        <v>217</v>
      </c>
      <c r="Q465" s="2" t="str">
        <f>CHOOSE(BikeData[[#This Row],[Season]],"Spring","Summer","Fall","Winter")</f>
        <v>Spring</v>
      </c>
      <c r="R465" s="2" t="str">
        <f>CHOOSE(BikeData[[#This Row],[Weathersituation]],"Clear","Mist","Light Rain","Heavy Rain")</f>
        <v>Clear</v>
      </c>
      <c r="S465" s="2" t="str">
        <f>TEXT(BikeData[[#This Row],[Date]],"mmm")</f>
        <v>Jan</v>
      </c>
    </row>
    <row r="466" spans="1:19" x14ac:dyDescent="0.3">
      <c r="A466">
        <v>465</v>
      </c>
      <c r="B466" s="5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 s="6">
        <f>BikeData[[#This Row],[Temperature]]</f>
        <v>0.2</v>
      </c>
      <c r="L466">
        <f>IFERROR(VLOOKUP(BikeData[[#This Row],[Intents]],[1]!Table2[#Data],3,FALSE),"")</f>
        <v>0.51</v>
      </c>
      <c r="M466">
        <f>IFERROR(VLOOKUP(BikeData[[#This Row],[Intents]],[1]!Table2[#Data],4,FALSE),"")</f>
        <v>0.35820000000000002</v>
      </c>
      <c r="N466">
        <f>IFERROR(VLOOKUP(BikeData[[#This Row],[Intents]],[1]!Table2[#Data],5,FALSE),"")</f>
        <v>7</v>
      </c>
      <c r="O466">
        <f>IFERROR(VLOOKUP(BikeData[[#This Row],[Intents]],[1]!Table2[#Data],6,FALSE),"")</f>
        <v>159</v>
      </c>
      <c r="P466">
        <f>IFERROR(VLOOKUP(BikeData[[#This Row],[Intents]],[1]!Table2[#Data],7,FALSE),"")</f>
        <v>166</v>
      </c>
      <c r="Q466" s="2" t="str">
        <f>CHOOSE(BikeData[[#This Row],[Season]],"Spring","Summer","Fall","Winter")</f>
        <v>Spring</v>
      </c>
      <c r="R466" s="2" t="str">
        <f>CHOOSE(BikeData[[#This Row],[Weathersituation]],"Clear","Mist","Light Rain","Heavy Rain")</f>
        <v>Clear</v>
      </c>
      <c r="S466" s="2" t="str">
        <f>TEXT(BikeData[[#This Row],[Date]],"mmm")</f>
        <v>Jan</v>
      </c>
    </row>
    <row r="467" spans="1:19" x14ac:dyDescent="0.3">
      <c r="A467">
        <v>466</v>
      </c>
      <c r="B467" s="5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 s="6">
        <f>BikeData[[#This Row],[Temperature]]</f>
        <v>0.2</v>
      </c>
      <c r="L467">
        <f>IFERROR(VLOOKUP(BikeData[[#This Row],[Intents]],[1]!Table2[#Data],3,FALSE),"")</f>
        <v>0.47</v>
      </c>
      <c r="M467">
        <f>IFERROR(VLOOKUP(BikeData[[#This Row],[Intents]],[1]!Table2[#Data],4,FALSE),"")</f>
        <v>0.4627</v>
      </c>
      <c r="N467">
        <f>IFERROR(VLOOKUP(BikeData[[#This Row],[Intents]],[1]!Table2[#Data],5,FALSE),"")</f>
        <v>6</v>
      </c>
      <c r="O467">
        <f>IFERROR(VLOOKUP(BikeData[[#This Row],[Intents]],[1]!Table2[#Data],6,FALSE),"")</f>
        <v>57</v>
      </c>
      <c r="P467">
        <f>IFERROR(VLOOKUP(BikeData[[#This Row],[Intents]],[1]!Table2[#Data],7,FALSE),"")</f>
        <v>63</v>
      </c>
      <c r="Q467" s="2" t="str">
        <f>CHOOSE(BikeData[[#This Row],[Season]],"Spring","Summer","Fall","Winter")</f>
        <v>Spring</v>
      </c>
      <c r="R467" s="2" t="str">
        <f>CHOOSE(BikeData[[#This Row],[Weathersituation]],"Clear","Mist","Light Rain","Heavy Rain")</f>
        <v>Clear</v>
      </c>
      <c r="S467" s="2" t="str">
        <f>TEXT(BikeData[[#This Row],[Date]],"mmm")</f>
        <v>Jan</v>
      </c>
    </row>
    <row r="468" spans="1:19" x14ac:dyDescent="0.3">
      <c r="A468">
        <v>467</v>
      </c>
      <c r="B468" s="5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 s="6">
        <f>BikeData[[#This Row],[Temperature]]</f>
        <v>0.22</v>
      </c>
      <c r="L468">
        <f>IFERROR(VLOOKUP(BikeData[[#This Row],[Intents]],[1]!Table2[#Data],3,FALSE),"")</f>
        <v>0.41</v>
      </c>
      <c r="M468">
        <f>IFERROR(VLOOKUP(BikeData[[#This Row],[Intents]],[1]!Table2[#Data],4,FALSE),"")</f>
        <v>0.4627</v>
      </c>
      <c r="N468">
        <f>IFERROR(VLOOKUP(BikeData[[#This Row],[Intents]],[1]!Table2[#Data],5,FALSE),"")</f>
        <v>6</v>
      </c>
      <c r="O468">
        <f>IFERROR(VLOOKUP(BikeData[[#This Row],[Intents]],[1]!Table2[#Data],6,FALSE),"")</f>
        <v>53</v>
      </c>
      <c r="P468">
        <f>IFERROR(VLOOKUP(BikeData[[#This Row],[Intents]],[1]!Table2[#Data],7,FALSE),"")</f>
        <v>59</v>
      </c>
      <c r="Q468" s="2" t="str">
        <f>CHOOSE(BikeData[[#This Row],[Season]],"Spring","Summer","Fall","Winter")</f>
        <v>Spring</v>
      </c>
      <c r="R468" s="2" t="str">
        <f>CHOOSE(BikeData[[#This Row],[Weathersituation]],"Clear","Mist","Light Rain","Heavy Rain")</f>
        <v>Clear</v>
      </c>
      <c r="S468" s="2" t="str">
        <f>TEXT(BikeData[[#This Row],[Date]],"mmm")</f>
        <v>Jan</v>
      </c>
    </row>
    <row r="469" spans="1:19" x14ac:dyDescent="0.3">
      <c r="A469">
        <v>468</v>
      </c>
      <c r="B469" s="5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 s="6">
        <f>BikeData[[#This Row],[Temperature]]</f>
        <v>0.22</v>
      </c>
      <c r="L469">
        <f>IFERROR(VLOOKUP(BikeData[[#This Row],[Intents]],[1]!Table2[#Data],3,FALSE),"")</f>
        <v>0.27</v>
      </c>
      <c r="M469">
        <f>IFERROR(VLOOKUP(BikeData[[#This Row],[Intents]],[1]!Table2[#Data],4,FALSE),"")</f>
        <v>0.58209999999999995</v>
      </c>
      <c r="N469">
        <f>IFERROR(VLOOKUP(BikeData[[#This Row],[Intents]],[1]!Table2[#Data],5,FALSE),"")</f>
        <v>11</v>
      </c>
      <c r="O469">
        <f>IFERROR(VLOOKUP(BikeData[[#This Row],[Intents]],[1]!Table2[#Data],6,FALSE),"")</f>
        <v>67</v>
      </c>
      <c r="P469">
        <f>IFERROR(VLOOKUP(BikeData[[#This Row],[Intents]],[1]!Table2[#Data],7,FALSE),"")</f>
        <v>78</v>
      </c>
      <c r="Q469" s="2" t="str">
        <f>CHOOSE(BikeData[[#This Row],[Season]],"Spring","Summer","Fall","Winter")</f>
        <v>Spring</v>
      </c>
      <c r="R469" s="2" t="str">
        <f>CHOOSE(BikeData[[#This Row],[Weathersituation]],"Clear","Mist","Light Rain","Heavy Rain")</f>
        <v>Clear</v>
      </c>
      <c r="S469" s="2" t="str">
        <f>TEXT(BikeData[[#This Row],[Date]],"mmm")</f>
        <v>Jan</v>
      </c>
    </row>
    <row r="470" spans="1:19" x14ac:dyDescent="0.3">
      <c r="A470">
        <v>469</v>
      </c>
      <c r="B470" s="5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 s="6">
        <f>BikeData[[#This Row],[Temperature]]</f>
        <v>0.2</v>
      </c>
      <c r="L470">
        <f>IFERROR(VLOOKUP(BikeData[[#This Row],[Intents]],[1]!Table2[#Data],3,FALSE),"")</f>
        <v>0.21</v>
      </c>
      <c r="M470">
        <f>IFERROR(VLOOKUP(BikeData[[#This Row],[Intents]],[1]!Table2[#Data],4,FALSE),"")</f>
        <v>0.58209999999999995</v>
      </c>
      <c r="N470">
        <f>IFERROR(VLOOKUP(BikeData[[#This Row],[Intents]],[1]!Table2[#Data],5,FALSE),"")</f>
        <v>8</v>
      </c>
      <c r="O470">
        <f>IFERROR(VLOOKUP(BikeData[[#This Row],[Intents]],[1]!Table2[#Data],6,FALSE),"")</f>
        <v>65</v>
      </c>
      <c r="P470">
        <f>IFERROR(VLOOKUP(BikeData[[#This Row],[Intents]],[1]!Table2[#Data],7,FALSE),"")</f>
        <v>73</v>
      </c>
      <c r="Q470" s="2" t="str">
        <f>CHOOSE(BikeData[[#This Row],[Season]],"Spring","Summer","Fall","Winter")</f>
        <v>Spring</v>
      </c>
      <c r="R470" s="2" t="str">
        <f>CHOOSE(BikeData[[#This Row],[Weathersituation]],"Clear","Mist","Light Rain","Heavy Rain")</f>
        <v>Clear</v>
      </c>
      <c r="S470" s="2" t="str">
        <f>TEXT(BikeData[[#This Row],[Date]],"mmm")</f>
        <v>Jan</v>
      </c>
    </row>
    <row r="471" spans="1:19" x14ac:dyDescent="0.3">
      <c r="A471">
        <v>470</v>
      </c>
      <c r="B471" s="5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 s="6">
        <f>BikeData[[#This Row],[Temperature]]</f>
        <v>0.2</v>
      </c>
      <c r="L471">
        <f>IFERROR(VLOOKUP(BikeData[[#This Row],[Intents]],[1]!Table2[#Data],3,FALSE),"")</f>
        <v>0.25</v>
      </c>
      <c r="M471">
        <f>IFERROR(VLOOKUP(BikeData[[#This Row],[Intents]],[1]!Table2[#Data],4,FALSE),"")</f>
        <v>0.52239999999999998</v>
      </c>
      <c r="N471">
        <f>IFERROR(VLOOKUP(BikeData[[#This Row],[Intents]],[1]!Table2[#Data],5,FALSE),"")</f>
        <v>6</v>
      </c>
      <c r="O471">
        <f>IFERROR(VLOOKUP(BikeData[[#This Row],[Intents]],[1]!Table2[#Data],6,FALSE),"")</f>
        <v>56</v>
      </c>
      <c r="P471">
        <f>IFERROR(VLOOKUP(BikeData[[#This Row],[Intents]],[1]!Table2[#Data],7,FALSE),"")</f>
        <v>62</v>
      </c>
      <c r="Q471" s="2" t="str">
        <f>CHOOSE(BikeData[[#This Row],[Season]],"Spring","Summer","Fall","Winter")</f>
        <v>Spring</v>
      </c>
      <c r="R471" s="2" t="str">
        <f>CHOOSE(BikeData[[#This Row],[Weathersituation]],"Clear","Mist","Light Rain","Heavy Rain")</f>
        <v>Clear</v>
      </c>
      <c r="S471" s="2" t="str">
        <f>TEXT(BikeData[[#This Row],[Date]],"mmm")</f>
        <v>Jan</v>
      </c>
    </row>
    <row r="472" spans="1:19" x14ac:dyDescent="0.3">
      <c r="A472">
        <v>471</v>
      </c>
      <c r="B472" s="5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 s="6">
        <f>BikeData[[#This Row],[Temperature]]</f>
        <v>0.16</v>
      </c>
      <c r="L472">
        <f>IFERROR(VLOOKUP(BikeData[[#This Row],[Intents]],[1]!Table2[#Data],3,FALSE),"")</f>
        <v>0.26</v>
      </c>
      <c r="M472">
        <f>IFERROR(VLOOKUP(BikeData[[#This Row],[Intents]],[1]!Table2[#Data],4,FALSE),"")</f>
        <v>0.44779999999999998</v>
      </c>
      <c r="N472">
        <f>IFERROR(VLOOKUP(BikeData[[#This Row],[Intents]],[1]!Table2[#Data],5,FALSE),"")</f>
        <v>4</v>
      </c>
      <c r="O472">
        <f>IFERROR(VLOOKUP(BikeData[[#This Row],[Intents]],[1]!Table2[#Data],6,FALSE),"")</f>
        <v>61</v>
      </c>
      <c r="P472">
        <f>IFERROR(VLOOKUP(BikeData[[#This Row],[Intents]],[1]!Table2[#Data],7,FALSE),"")</f>
        <v>65</v>
      </c>
      <c r="Q472" s="2" t="str">
        <f>CHOOSE(BikeData[[#This Row],[Season]],"Spring","Summer","Fall","Winter")</f>
        <v>Spring</v>
      </c>
      <c r="R472" s="2" t="str">
        <f>CHOOSE(BikeData[[#This Row],[Weathersituation]],"Clear","Mist","Light Rain","Heavy Rain")</f>
        <v>Clear</v>
      </c>
      <c r="S472" s="2" t="str">
        <f>TEXT(BikeData[[#This Row],[Date]],"mmm")</f>
        <v>Jan</v>
      </c>
    </row>
    <row r="473" spans="1:19" x14ac:dyDescent="0.3">
      <c r="A473">
        <v>472</v>
      </c>
      <c r="B473" s="5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 s="6">
        <f>BikeData[[#This Row],[Temperature]]</f>
        <v>0.16</v>
      </c>
      <c r="L473">
        <f>IFERROR(VLOOKUP(BikeData[[#This Row],[Intents]],[1]!Table2[#Data],3,FALSE),"")</f>
        <v>0.26</v>
      </c>
      <c r="M473">
        <f>IFERROR(VLOOKUP(BikeData[[#This Row],[Intents]],[1]!Table2[#Data],4,FALSE),"")</f>
        <v>0.35820000000000002</v>
      </c>
      <c r="N473">
        <f>IFERROR(VLOOKUP(BikeData[[#This Row],[Intents]],[1]!Table2[#Data],5,FALSE),"")</f>
        <v>0</v>
      </c>
      <c r="O473">
        <f>IFERROR(VLOOKUP(BikeData[[#This Row],[Intents]],[1]!Table2[#Data],6,FALSE),"")</f>
        <v>97</v>
      </c>
      <c r="P473">
        <f>IFERROR(VLOOKUP(BikeData[[#This Row],[Intents]],[1]!Table2[#Data],7,FALSE),"")</f>
        <v>97</v>
      </c>
      <c r="Q473" s="2" t="str">
        <f>CHOOSE(BikeData[[#This Row],[Season]],"Spring","Summer","Fall","Winter")</f>
        <v>Spring</v>
      </c>
      <c r="R473" s="2" t="str">
        <f>CHOOSE(BikeData[[#This Row],[Weathersituation]],"Clear","Mist","Light Rain","Heavy Rain")</f>
        <v>Clear</v>
      </c>
      <c r="S473" s="2" t="str">
        <f>TEXT(BikeData[[#This Row],[Date]],"mmm")</f>
        <v>Jan</v>
      </c>
    </row>
    <row r="474" spans="1:19" x14ac:dyDescent="0.3">
      <c r="A474">
        <v>473</v>
      </c>
      <c r="B474" s="5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 s="6">
        <f>BikeData[[#This Row],[Temperature]]</f>
        <v>0.14000000000000001</v>
      </c>
      <c r="L474">
        <f>IFERROR(VLOOKUP(BikeData[[#This Row],[Intents]],[1]!Table2[#Data],3,FALSE),"")</f>
        <v>0.28000000000000003</v>
      </c>
      <c r="M474">
        <f>IFERROR(VLOOKUP(BikeData[[#This Row],[Intents]],[1]!Table2[#Data],4,FALSE),"")</f>
        <v>0.35820000000000002</v>
      </c>
      <c r="N474">
        <f>IFERROR(VLOOKUP(BikeData[[#This Row],[Intents]],[1]!Table2[#Data],5,FALSE),"")</f>
        <v>10</v>
      </c>
      <c r="O474">
        <f>IFERROR(VLOOKUP(BikeData[[#This Row],[Intents]],[1]!Table2[#Data],6,FALSE),"")</f>
        <v>151</v>
      </c>
      <c r="P474">
        <f>IFERROR(VLOOKUP(BikeData[[#This Row],[Intents]],[1]!Table2[#Data],7,FALSE),"")</f>
        <v>161</v>
      </c>
      <c r="Q474" s="2" t="str">
        <f>CHOOSE(BikeData[[#This Row],[Season]],"Spring","Summer","Fall","Winter")</f>
        <v>Spring</v>
      </c>
      <c r="R474" s="2" t="str">
        <f>CHOOSE(BikeData[[#This Row],[Weathersituation]],"Clear","Mist","Light Rain","Heavy Rain")</f>
        <v>Clear</v>
      </c>
      <c r="S474" s="2" t="str">
        <f>TEXT(BikeData[[#This Row],[Date]],"mmm")</f>
        <v>Jan</v>
      </c>
    </row>
    <row r="475" spans="1:19" x14ac:dyDescent="0.3">
      <c r="A475">
        <v>474</v>
      </c>
      <c r="B475" s="5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 s="6">
        <f>BikeData[[#This Row],[Temperature]]</f>
        <v>0.12</v>
      </c>
      <c r="L475">
        <f>IFERROR(VLOOKUP(BikeData[[#This Row],[Intents]],[1]!Table2[#Data],3,FALSE),"")</f>
        <v>0.3</v>
      </c>
      <c r="M475">
        <f>IFERROR(VLOOKUP(BikeData[[#This Row],[Intents]],[1]!Table2[#Data],4,FALSE),"")</f>
        <v>0.25369999999999998</v>
      </c>
      <c r="N475">
        <f>IFERROR(VLOOKUP(BikeData[[#This Row],[Intents]],[1]!Table2[#Data],5,FALSE),"")</f>
        <v>1</v>
      </c>
      <c r="O475">
        <f>IFERROR(VLOOKUP(BikeData[[#This Row],[Intents]],[1]!Table2[#Data],6,FALSE),"")</f>
        <v>119</v>
      </c>
      <c r="P475">
        <f>IFERROR(VLOOKUP(BikeData[[#This Row],[Intents]],[1]!Table2[#Data],7,FALSE),"")</f>
        <v>120</v>
      </c>
      <c r="Q475" s="2" t="str">
        <f>CHOOSE(BikeData[[#This Row],[Season]],"Spring","Summer","Fall","Winter")</f>
        <v>Spring</v>
      </c>
      <c r="R475" s="2" t="str">
        <f>CHOOSE(BikeData[[#This Row],[Weathersituation]],"Clear","Mist","Light Rain","Heavy Rain")</f>
        <v>Clear</v>
      </c>
      <c r="S475" s="2" t="str">
        <f>TEXT(BikeData[[#This Row],[Date]],"mmm")</f>
        <v>Jan</v>
      </c>
    </row>
    <row r="476" spans="1:19" x14ac:dyDescent="0.3">
      <c r="A476">
        <v>475</v>
      </c>
      <c r="B476" s="5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 s="6">
        <f>BikeData[[#This Row],[Temperature]]</f>
        <v>0.12</v>
      </c>
      <c r="L476">
        <f>IFERROR(VLOOKUP(BikeData[[#This Row],[Intents]],[1]!Table2[#Data],3,FALSE),"")</f>
        <v>0.3</v>
      </c>
      <c r="M476">
        <f>IFERROR(VLOOKUP(BikeData[[#This Row],[Intents]],[1]!Table2[#Data],4,FALSE),"")</f>
        <v>0.32840000000000003</v>
      </c>
      <c r="N476">
        <f>IFERROR(VLOOKUP(BikeData[[#This Row],[Intents]],[1]!Table2[#Data],5,FALSE),"")</f>
        <v>3</v>
      </c>
      <c r="O476">
        <f>IFERROR(VLOOKUP(BikeData[[#This Row],[Intents]],[1]!Table2[#Data],6,FALSE),"")</f>
        <v>93</v>
      </c>
      <c r="P476">
        <f>IFERROR(VLOOKUP(BikeData[[#This Row],[Intents]],[1]!Table2[#Data],7,FALSE),"")</f>
        <v>96</v>
      </c>
      <c r="Q476" s="2" t="str">
        <f>CHOOSE(BikeData[[#This Row],[Season]],"Spring","Summer","Fall","Winter")</f>
        <v>Spring</v>
      </c>
      <c r="R476" s="2" t="str">
        <f>CHOOSE(BikeData[[#This Row],[Weathersituation]],"Clear","Mist","Light Rain","Heavy Rain")</f>
        <v>Clear</v>
      </c>
      <c r="S476" s="2" t="str">
        <f>TEXT(BikeData[[#This Row],[Date]],"mmm")</f>
        <v>Jan</v>
      </c>
    </row>
    <row r="477" spans="1:19" x14ac:dyDescent="0.3">
      <c r="A477">
        <v>476</v>
      </c>
      <c r="B477" s="5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 s="6">
        <f>BikeData[[#This Row],[Temperature]]</f>
        <v>0.1</v>
      </c>
      <c r="L477">
        <f>IFERROR(VLOOKUP(BikeData[[#This Row],[Intents]],[1]!Table2[#Data],3,FALSE),"")</f>
        <v>0.33</v>
      </c>
      <c r="M477">
        <f>IFERROR(VLOOKUP(BikeData[[#This Row],[Intents]],[1]!Table2[#Data],4,FALSE),"")</f>
        <v>0.41789999999999999</v>
      </c>
      <c r="N477">
        <f>IFERROR(VLOOKUP(BikeData[[#This Row],[Intents]],[1]!Table2[#Data],5,FALSE),"")</f>
        <v>1</v>
      </c>
      <c r="O477">
        <f>IFERROR(VLOOKUP(BikeData[[#This Row],[Intents]],[1]!Table2[#Data],6,FALSE),"")</f>
        <v>52</v>
      </c>
      <c r="P477">
        <f>IFERROR(VLOOKUP(BikeData[[#This Row],[Intents]],[1]!Table2[#Data],7,FALSE),"")</f>
        <v>53</v>
      </c>
      <c r="Q477" s="2" t="str">
        <f>CHOOSE(BikeData[[#This Row],[Season]],"Spring","Summer","Fall","Winter")</f>
        <v>Spring</v>
      </c>
      <c r="R477" s="2" t="str">
        <f>CHOOSE(BikeData[[#This Row],[Weathersituation]],"Clear","Mist","Light Rain","Heavy Rain")</f>
        <v>Clear</v>
      </c>
      <c r="S477" s="2" t="str">
        <f>TEXT(BikeData[[#This Row],[Date]],"mmm")</f>
        <v>Jan</v>
      </c>
    </row>
    <row r="478" spans="1:19" x14ac:dyDescent="0.3">
      <c r="A478">
        <v>477</v>
      </c>
      <c r="B478" s="5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 s="6">
        <f>BikeData[[#This Row],[Temperature]]</f>
        <v>0.08</v>
      </c>
      <c r="L478">
        <f>IFERROR(VLOOKUP(BikeData[[#This Row],[Intents]],[1]!Table2[#Data],3,FALSE),"")</f>
        <v>0.38</v>
      </c>
      <c r="M478">
        <f>IFERROR(VLOOKUP(BikeData[[#This Row],[Intents]],[1]!Table2[#Data],4,FALSE),"")</f>
        <v>0.28360000000000002</v>
      </c>
      <c r="N478">
        <f>IFERROR(VLOOKUP(BikeData[[#This Row],[Intents]],[1]!Table2[#Data],5,FALSE),"")</f>
        <v>0</v>
      </c>
      <c r="O478">
        <f>IFERROR(VLOOKUP(BikeData[[#This Row],[Intents]],[1]!Table2[#Data],6,FALSE),"")</f>
        <v>41</v>
      </c>
      <c r="P478">
        <f>IFERROR(VLOOKUP(BikeData[[#This Row],[Intents]],[1]!Table2[#Data],7,FALSE),"")</f>
        <v>41</v>
      </c>
      <c r="Q478" s="2" t="str">
        <f>CHOOSE(BikeData[[#This Row],[Season]],"Spring","Summer","Fall","Winter")</f>
        <v>Spring</v>
      </c>
      <c r="R478" s="2" t="str">
        <f>CHOOSE(BikeData[[#This Row],[Weathersituation]],"Clear","Mist","Light Rain","Heavy Rain")</f>
        <v>Clear</v>
      </c>
      <c r="S478" s="2" t="str">
        <f>TEXT(BikeData[[#This Row],[Date]],"mmm")</f>
        <v>Jan</v>
      </c>
    </row>
    <row r="479" spans="1:19" x14ac:dyDescent="0.3">
      <c r="A479">
        <v>478</v>
      </c>
      <c r="B479" s="5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 s="6">
        <f>BikeData[[#This Row],[Temperature]]</f>
        <v>0.06</v>
      </c>
      <c r="L479">
        <f>IFERROR(VLOOKUP(BikeData[[#This Row],[Intents]],[1]!Table2[#Data],3,FALSE),"")</f>
        <v>0.41</v>
      </c>
      <c r="M479">
        <f>IFERROR(VLOOKUP(BikeData[[#This Row],[Intents]],[1]!Table2[#Data],4,FALSE),"")</f>
        <v>0.3881</v>
      </c>
      <c r="N479">
        <f>IFERROR(VLOOKUP(BikeData[[#This Row],[Intents]],[1]!Table2[#Data],5,FALSE),"")</f>
        <v>1</v>
      </c>
      <c r="O479">
        <f>IFERROR(VLOOKUP(BikeData[[#This Row],[Intents]],[1]!Table2[#Data],6,FALSE),"")</f>
        <v>33</v>
      </c>
      <c r="P479">
        <f>IFERROR(VLOOKUP(BikeData[[#This Row],[Intents]],[1]!Table2[#Data],7,FALSE),"")</f>
        <v>34</v>
      </c>
      <c r="Q479" s="2" t="str">
        <f>CHOOSE(BikeData[[#This Row],[Season]],"Spring","Summer","Fall","Winter")</f>
        <v>Spring</v>
      </c>
      <c r="R479" s="2" t="str">
        <f>CHOOSE(BikeData[[#This Row],[Weathersituation]],"Clear","Mist","Light Rain","Heavy Rain")</f>
        <v>Clear</v>
      </c>
      <c r="S479" s="2" t="str">
        <f>TEXT(BikeData[[#This Row],[Date]],"mmm")</f>
        <v>Jan</v>
      </c>
    </row>
    <row r="480" spans="1:19" x14ac:dyDescent="0.3">
      <c r="A480">
        <v>479</v>
      </c>
      <c r="B480" s="5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 s="6">
        <f>BikeData[[#This Row],[Temperature]]</f>
        <v>0.06</v>
      </c>
      <c r="L480">
        <f>IFERROR(VLOOKUP(BikeData[[#This Row],[Intents]],[1]!Table2[#Data],3,FALSE),"")</f>
        <v>0.38</v>
      </c>
      <c r="M480">
        <f>IFERROR(VLOOKUP(BikeData[[#This Row],[Intents]],[1]!Table2[#Data],4,FALSE),"")</f>
        <v>0.32840000000000003</v>
      </c>
      <c r="N480">
        <f>IFERROR(VLOOKUP(BikeData[[#This Row],[Intents]],[1]!Table2[#Data],5,FALSE),"")</f>
        <v>0</v>
      </c>
      <c r="O480">
        <f>IFERROR(VLOOKUP(BikeData[[#This Row],[Intents]],[1]!Table2[#Data],6,FALSE),"")</f>
        <v>27</v>
      </c>
      <c r="P480">
        <f>IFERROR(VLOOKUP(BikeData[[#This Row],[Intents]],[1]!Table2[#Data],7,FALSE),"")</f>
        <v>27</v>
      </c>
      <c r="Q480" s="2" t="str">
        <f>CHOOSE(BikeData[[#This Row],[Season]],"Spring","Summer","Fall","Winter")</f>
        <v>Spring</v>
      </c>
      <c r="R480" s="2" t="str">
        <f>CHOOSE(BikeData[[#This Row],[Weathersituation]],"Clear","Mist","Light Rain","Heavy Rain")</f>
        <v>Clear</v>
      </c>
      <c r="S480" s="2" t="str">
        <f>TEXT(BikeData[[#This Row],[Date]],"mmm")</f>
        <v>Jan</v>
      </c>
    </row>
    <row r="481" spans="1:19" x14ac:dyDescent="0.3">
      <c r="A481">
        <v>480</v>
      </c>
      <c r="B481" s="5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 s="6">
        <f>BikeData[[#This Row],[Temperature]]</f>
        <v>0.04</v>
      </c>
      <c r="L481">
        <f>IFERROR(VLOOKUP(BikeData[[#This Row],[Intents]],[1]!Table2[#Data],3,FALSE),"")</f>
        <v>0.45</v>
      </c>
      <c r="M481">
        <f>IFERROR(VLOOKUP(BikeData[[#This Row],[Intents]],[1]!Table2[#Data],4,FALSE),"")</f>
        <v>0.25369999999999998</v>
      </c>
      <c r="N481">
        <f>IFERROR(VLOOKUP(BikeData[[#This Row],[Intents]],[1]!Table2[#Data],5,FALSE),"")</f>
        <v>0</v>
      </c>
      <c r="O481">
        <f>IFERROR(VLOOKUP(BikeData[[#This Row],[Intents]],[1]!Table2[#Data],6,FALSE),"")</f>
        <v>13</v>
      </c>
      <c r="P481">
        <f>IFERROR(VLOOKUP(BikeData[[#This Row],[Intents]],[1]!Table2[#Data],7,FALSE),"")</f>
        <v>13</v>
      </c>
      <c r="Q481" s="2" t="str">
        <f>CHOOSE(BikeData[[#This Row],[Season]],"Spring","Summer","Fall","Winter")</f>
        <v>Spring</v>
      </c>
      <c r="R481" s="2" t="str">
        <f>CHOOSE(BikeData[[#This Row],[Weathersituation]],"Clear","Mist","Light Rain","Heavy Rain")</f>
        <v>Clear</v>
      </c>
      <c r="S481" s="2" t="str">
        <f>TEXT(BikeData[[#This Row],[Date]],"mmm")</f>
        <v>Jan</v>
      </c>
    </row>
    <row r="482" spans="1:19" x14ac:dyDescent="0.3">
      <c r="A482">
        <v>481</v>
      </c>
      <c r="B482" s="5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 s="6">
        <f>BikeData[[#This Row],[Temperature]]</f>
        <v>0.04</v>
      </c>
      <c r="L482">
        <f>IFERROR(VLOOKUP(BikeData[[#This Row],[Intents]],[1]!Table2[#Data],3,FALSE),"")</f>
        <v>0.41</v>
      </c>
      <c r="M482">
        <f>IFERROR(VLOOKUP(BikeData[[#This Row],[Intents]],[1]!Table2[#Data],4,FALSE),"")</f>
        <v>0.3881</v>
      </c>
      <c r="N482">
        <f>IFERROR(VLOOKUP(BikeData[[#This Row],[Intents]],[1]!Table2[#Data],5,FALSE),"")</f>
        <v>3</v>
      </c>
      <c r="O482">
        <f>IFERROR(VLOOKUP(BikeData[[#This Row],[Intents]],[1]!Table2[#Data],6,FALSE),"")</f>
        <v>9</v>
      </c>
      <c r="P482">
        <f>IFERROR(VLOOKUP(BikeData[[#This Row],[Intents]],[1]!Table2[#Data],7,FALSE),"")</f>
        <v>12</v>
      </c>
      <c r="Q482" s="2" t="str">
        <f>CHOOSE(BikeData[[#This Row],[Season]],"Spring","Summer","Fall","Winter")</f>
        <v>Spring</v>
      </c>
      <c r="R482" s="2" t="str">
        <f>CHOOSE(BikeData[[#This Row],[Weathersituation]],"Clear","Mist","Light Rain","Heavy Rain")</f>
        <v>Mist</v>
      </c>
      <c r="S482" s="2" t="str">
        <f>TEXT(BikeData[[#This Row],[Date]],"mmm")</f>
        <v>Jan</v>
      </c>
    </row>
    <row r="483" spans="1:19" x14ac:dyDescent="0.3">
      <c r="A483">
        <v>482</v>
      </c>
      <c r="B483" s="5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 s="6">
        <f>BikeData[[#This Row],[Temperature]]</f>
        <v>0.04</v>
      </c>
      <c r="L483">
        <f>IFERROR(VLOOKUP(BikeData[[#This Row],[Intents]],[1]!Table2[#Data],3,FALSE),"")</f>
        <v>0.41</v>
      </c>
      <c r="M483">
        <f>IFERROR(VLOOKUP(BikeData[[#This Row],[Intents]],[1]!Table2[#Data],4,FALSE),"")</f>
        <v>0.25369999999999998</v>
      </c>
      <c r="N483">
        <f>IFERROR(VLOOKUP(BikeData[[#This Row],[Intents]],[1]!Table2[#Data],5,FALSE),"")</f>
        <v>0</v>
      </c>
      <c r="O483">
        <f>IFERROR(VLOOKUP(BikeData[[#This Row],[Intents]],[1]!Table2[#Data],6,FALSE),"")</f>
        <v>11</v>
      </c>
      <c r="P483">
        <f>IFERROR(VLOOKUP(BikeData[[#This Row],[Intents]],[1]!Table2[#Data],7,FALSE),"")</f>
        <v>11</v>
      </c>
      <c r="Q483" s="2" t="str">
        <f>CHOOSE(BikeData[[#This Row],[Season]],"Spring","Summer","Fall","Winter")</f>
        <v>Spring</v>
      </c>
      <c r="R483" s="2" t="str">
        <f>CHOOSE(BikeData[[#This Row],[Weathersituation]],"Clear","Mist","Light Rain","Heavy Rain")</f>
        <v>Mist</v>
      </c>
      <c r="S483" s="2" t="str">
        <f>TEXT(BikeData[[#This Row],[Date]],"mmm")</f>
        <v>Jan</v>
      </c>
    </row>
    <row r="484" spans="1:19" x14ac:dyDescent="0.3">
      <c r="A484">
        <v>483</v>
      </c>
      <c r="B484" s="5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 s="6">
        <f>BikeData[[#This Row],[Temperature]]</f>
        <v>0.04</v>
      </c>
      <c r="L484">
        <f>IFERROR(VLOOKUP(BikeData[[#This Row],[Intents]],[1]!Table2[#Data],3,FALSE),"")</f>
        <v>0.41</v>
      </c>
      <c r="M484">
        <f>IFERROR(VLOOKUP(BikeData[[#This Row],[Intents]],[1]!Table2[#Data],4,FALSE),"")</f>
        <v>0.28360000000000002</v>
      </c>
      <c r="N484">
        <f>IFERROR(VLOOKUP(BikeData[[#This Row],[Intents]],[1]!Table2[#Data],5,FALSE),"")</f>
        <v>1</v>
      </c>
      <c r="O484">
        <f>IFERROR(VLOOKUP(BikeData[[#This Row],[Intents]],[1]!Table2[#Data],6,FALSE),"")</f>
        <v>6</v>
      </c>
      <c r="P484">
        <f>IFERROR(VLOOKUP(BikeData[[#This Row],[Intents]],[1]!Table2[#Data],7,FALSE),"")</f>
        <v>7</v>
      </c>
      <c r="Q484" s="2" t="str">
        <f>CHOOSE(BikeData[[#This Row],[Season]],"Spring","Summer","Fall","Winter")</f>
        <v>Spring</v>
      </c>
      <c r="R484" s="2" t="str">
        <f>CHOOSE(BikeData[[#This Row],[Weathersituation]],"Clear","Mist","Light Rain","Heavy Rain")</f>
        <v>Mist</v>
      </c>
      <c r="S484" s="2" t="str">
        <f>TEXT(BikeData[[#This Row],[Date]],"mmm")</f>
        <v>Jan</v>
      </c>
    </row>
    <row r="485" spans="1:19" x14ac:dyDescent="0.3">
      <c r="A485">
        <v>484</v>
      </c>
      <c r="B485" s="5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 s="6">
        <f>BikeData[[#This Row],[Temperature]]</f>
        <v>0.02</v>
      </c>
      <c r="L485">
        <f>IFERROR(VLOOKUP(BikeData[[#This Row],[Intents]],[1]!Table2[#Data],3,FALSE),"")</f>
        <v>0.48</v>
      </c>
      <c r="M485">
        <f>IFERROR(VLOOKUP(BikeData[[#This Row],[Intents]],[1]!Table2[#Data],4,FALSE),"")</f>
        <v>0.29849999999999999</v>
      </c>
      <c r="N485">
        <f>IFERROR(VLOOKUP(BikeData[[#This Row],[Intents]],[1]!Table2[#Data],5,FALSE),"")</f>
        <v>0</v>
      </c>
      <c r="O485">
        <f>IFERROR(VLOOKUP(BikeData[[#This Row],[Intents]],[1]!Table2[#Data],6,FALSE),"")</f>
        <v>3</v>
      </c>
      <c r="P485">
        <f>IFERROR(VLOOKUP(BikeData[[#This Row],[Intents]],[1]!Table2[#Data],7,FALSE),"")</f>
        <v>3</v>
      </c>
      <c r="Q485" s="2" t="str">
        <f>CHOOSE(BikeData[[#This Row],[Season]],"Spring","Summer","Fall","Winter")</f>
        <v>Spring</v>
      </c>
      <c r="R485" s="2" t="str">
        <f>CHOOSE(BikeData[[#This Row],[Weathersituation]],"Clear","Mist","Light Rain","Heavy Rain")</f>
        <v>Mist</v>
      </c>
      <c r="S485" s="2" t="str">
        <f>TEXT(BikeData[[#This Row],[Date]],"mmm")</f>
        <v>Jan</v>
      </c>
    </row>
    <row r="486" spans="1:19" x14ac:dyDescent="0.3">
      <c r="A486">
        <v>485</v>
      </c>
      <c r="B486" s="5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 s="6">
        <f>BikeData[[#This Row],[Temperature]]</f>
        <v>0.02</v>
      </c>
      <c r="L486">
        <f>IFERROR(VLOOKUP(BikeData[[#This Row],[Intents]],[1]!Table2[#Data],3,FALSE),"")</f>
        <v>0.44</v>
      </c>
      <c r="M486">
        <f>IFERROR(VLOOKUP(BikeData[[#This Row],[Intents]],[1]!Table2[#Data],4,FALSE),"")</f>
        <v>0.22389999999999999</v>
      </c>
      <c r="N486">
        <f>IFERROR(VLOOKUP(BikeData[[#This Row],[Intents]],[1]!Table2[#Data],5,FALSE),"")</f>
        <v>0</v>
      </c>
      <c r="O486">
        <f>IFERROR(VLOOKUP(BikeData[[#This Row],[Intents]],[1]!Table2[#Data],6,FALSE),"")</f>
        <v>2</v>
      </c>
      <c r="P486">
        <f>IFERROR(VLOOKUP(BikeData[[#This Row],[Intents]],[1]!Table2[#Data],7,FALSE),"")</f>
        <v>2</v>
      </c>
      <c r="Q486" s="2" t="str">
        <f>CHOOSE(BikeData[[#This Row],[Season]],"Spring","Summer","Fall","Winter")</f>
        <v>Spring</v>
      </c>
      <c r="R486" s="2" t="str">
        <f>CHOOSE(BikeData[[#This Row],[Weathersituation]],"Clear","Mist","Light Rain","Heavy Rain")</f>
        <v>Mist</v>
      </c>
      <c r="S486" s="2" t="str">
        <f>TEXT(BikeData[[#This Row],[Date]],"mmm")</f>
        <v>Jan</v>
      </c>
    </row>
    <row r="487" spans="1:19" x14ac:dyDescent="0.3">
      <c r="A487">
        <v>486</v>
      </c>
      <c r="B487" s="5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 s="6">
        <f>BikeData[[#This Row],[Temperature]]</f>
        <v>0.02</v>
      </c>
      <c r="L487">
        <f>IFERROR(VLOOKUP(BikeData[[#This Row],[Intents]],[1]!Table2[#Data],3,FALSE),"")</f>
        <v>0.44</v>
      </c>
      <c r="M487">
        <f>IFERROR(VLOOKUP(BikeData[[#This Row],[Intents]],[1]!Table2[#Data],4,FALSE),"")</f>
        <v>0.28360000000000002</v>
      </c>
      <c r="N487">
        <f>IFERROR(VLOOKUP(BikeData[[#This Row],[Intents]],[1]!Table2[#Data],5,FALSE),"")</f>
        <v>0</v>
      </c>
      <c r="O487">
        <f>IFERROR(VLOOKUP(BikeData[[#This Row],[Intents]],[1]!Table2[#Data],6,FALSE),"")</f>
        <v>8</v>
      </c>
      <c r="P487">
        <f>IFERROR(VLOOKUP(BikeData[[#This Row],[Intents]],[1]!Table2[#Data],7,FALSE),"")</f>
        <v>8</v>
      </c>
      <c r="Q487" s="2" t="str">
        <f>CHOOSE(BikeData[[#This Row],[Season]],"Spring","Summer","Fall","Winter")</f>
        <v>Spring</v>
      </c>
      <c r="R487" s="2" t="str">
        <f>CHOOSE(BikeData[[#This Row],[Weathersituation]],"Clear","Mist","Light Rain","Heavy Rain")</f>
        <v>Clear</v>
      </c>
      <c r="S487" s="2" t="str">
        <f>TEXT(BikeData[[#This Row],[Date]],"mmm")</f>
        <v>Jan</v>
      </c>
    </row>
    <row r="488" spans="1:19" x14ac:dyDescent="0.3">
      <c r="A488">
        <v>487</v>
      </c>
      <c r="B488" s="5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 s="6">
        <f>BikeData[[#This Row],[Temperature]]</f>
        <v>0.02</v>
      </c>
      <c r="L488">
        <f>IFERROR(VLOOKUP(BikeData[[#This Row],[Intents]],[1]!Table2[#Data],3,FALSE),"")</f>
        <v>0.44</v>
      </c>
      <c r="M488">
        <f>IFERROR(VLOOKUP(BikeData[[#This Row],[Intents]],[1]!Table2[#Data],4,FALSE),"")</f>
        <v>0.32840000000000003</v>
      </c>
      <c r="N488">
        <f>IFERROR(VLOOKUP(BikeData[[#This Row],[Intents]],[1]!Table2[#Data],5,FALSE),"")</f>
        <v>1</v>
      </c>
      <c r="O488">
        <f>IFERROR(VLOOKUP(BikeData[[#This Row],[Intents]],[1]!Table2[#Data],6,FALSE),"")</f>
        <v>26</v>
      </c>
      <c r="P488">
        <f>IFERROR(VLOOKUP(BikeData[[#This Row],[Intents]],[1]!Table2[#Data],7,FALSE),"")</f>
        <v>27</v>
      </c>
      <c r="Q488" s="2" t="str">
        <f>CHOOSE(BikeData[[#This Row],[Season]],"Spring","Summer","Fall","Winter")</f>
        <v>Spring</v>
      </c>
      <c r="R488" s="2" t="str">
        <f>CHOOSE(BikeData[[#This Row],[Weathersituation]],"Clear","Mist","Light Rain","Heavy Rain")</f>
        <v>Clear</v>
      </c>
      <c r="S488" s="2" t="str">
        <f>TEXT(BikeData[[#This Row],[Date]],"mmm")</f>
        <v>Jan</v>
      </c>
    </row>
    <row r="489" spans="1:19" x14ac:dyDescent="0.3">
      <c r="A489">
        <v>488</v>
      </c>
      <c r="B489" s="5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 s="6">
        <f>BikeData[[#This Row],[Temperature]]</f>
        <v>0.04</v>
      </c>
      <c r="L489">
        <f>IFERROR(VLOOKUP(BikeData[[#This Row],[Intents]],[1]!Table2[#Data],3,FALSE),"")</f>
        <v>0.41</v>
      </c>
      <c r="M489">
        <f>IFERROR(VLOOKUP(BikeData[[#This Row],[Intents]],[1]!Table2[#Data],4,FALSE),"")</f>
        <v>0.25369999999999998</v>
      </c>
      <c r="N489">
        <f>IFERROR(VLOOKUP(BikeData[[#This Row],[Intents]],[1]!Table2[#Data],5,FALSE),"")</f>
        <v>3</v>
      </c>
      <c r="O489">
        <f>IFERROR(VLOOKUP(BikeData[[#This Row],[Intents]],[1]!Table2[#Data],6,FALSE),"")</f>
        <v>37</v>
      </c>
      <c r="P489">
        <f>IFERROR(VLOOKUP(BikeData[[#This Row],[Intents]],[1]!Table2[#Data],7,FALSE),"")</f>
        <v>40</v>
      </c>
      <c r="Q489" s="2" t="str">
        <f>CHOOSE(BikeData[[#This Row],[Season]],"Spring","Summer","Fall","Winter")</f>
        <v>Spring</v>
      </c>
      <c r="R489" s="2" t="str">
        <f>CHOOSE(BikeData[[#This Row],[Weathersituation]],"Clear","Mist","Light Rain","Heavy Rain")</f>
        <v>Clear</v>
      </c>
      <c r="S489" s="2" t="str">
        <f>TEXT(BikeData[[#This Row],[Date]],"mmm")</f>
        <v>Jan</v>
      </c>
    </row>
    <row r="490" spans="1:19" x14ac:dyDescent="0.3">
      <c r="A490">
        <v>489</v>
      </c>
      <c r="B490" s="5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 s="6">
        <f>BikeData[[#This Row],[Temperature]]</f>
        <v>0.04</v>
      </c>
      <c r="L490">
        <f>IFERROR(VLOOKUP(BikeData[[#This Row],[Intents]],[1]!Table2[#Data],3,FALSE),"")</f>
        <v>0.41</v>
      </c>
      <c r="M490">
        <f>IFERROR(VLOOKUP(BikeData[[#This Row],[Intents]],[1]!Table2[#Data],4,FALSE),"")</f>
        <v>0.16420000000000001</v>
      </c>
      <c r="N490">
        <f>IFERROR(VLOOKUP(BikeData[[#This Row],[Intents]],[1]!Table2[#Data],5,FALSE),"")</f>
        <v>3</v>
      </c>
      <c r="O490">
        <f>IFERROR(VLOOKUP(BikeData[[#This Row],[Intents]],[1]!Table2[#Data],6,FALSE),"")</f>
        <v>50</v>
      </c>
      <c r="P490">
        <f>IFERROR(VLOOKUP(BikeData[[#This Row],[Intents]],[1]!Table2[#Data],7,FALSE),"")</f>
        <v>53</v>
      </c>
      <c r="Q490" s="2" t="str">
        <f>CHOOSE(BikeData[[#This Row],[Season]],"Spring","Summer","Fall","Winter")</f>
        <v>Spring</v>
      </c>
      <c r="R490" s="2" t="str">
        <f>CHOOSE(BikeData[[#This Row],[Weathersituation]],"Clear","Mist","Light Rain","Heavy Rain")</f>
        <v>Mist</v>
      </c>
      <c r="S490" s="2" t="str">
        <f>TEXT(BikeData[[#This Row],[Date]],"mmm")</f>
        <v>Jan</v>
      </c>
    </row>
    <row r="491" spans="1:19" x14ac:dyDescent="0.3">
      <c r="A491">
        <v>490</v>
      </c>
      <c r="B491" s="5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 s="6">
        <f>BikeData[[#This Row],[Temperature]]</f>
        <v>0.06</v>
      </c>
      <c r="L491">
        <f>IFERROR(VLOOKUP(BikeData[[#This Row],[Intents]],[1]!Table2[#Data],3,FALSE),"")</f>
        <v>0.38</v>
      </c>
      <c r="M491">
        <f>IFERROR(VLOOKUP(BikeData[[#This Row],[Intents]],[1]!Table2[#Data],4,FALSE),"")</f>
        <v>0.1343</v>
      </c>
      <c r="N491">
        <f>IFERROR(VLOOKUP(BikeData[[#This Row],[Intents]],[1]!Table2[#Data],5,FALSE),"")</f>
        <v>4</v>
      </c>
      <c r="O491">
        <f>IFERROR(VLOOKUP(BikeData[[#This Row],[Intents]],[1]!Table2[#Data],6,FALSE),"")</f>
        <v>59</v>
      </c>
      <c r="P491">
        <f>IFERROR(VLOOKUP(BikeData[[#This Row],[Intents]],[1]!Table2[#Data],7,FALSE),"")</f>
        <v>63</v>
      </c>
      <c r="Q491" s="2" t="str">
        <f>CHOOSE(BikeData[[#This Row],[Season]],"Spring","Summer","Fall","Winter")</f>
        <v>Spring</v>
      </c>
      <c r="R491" s="2" t="str">
        <f>CHOOSE(BikeData[[#This Row],[Weathersituation]],"Clear","Mist","Light Rain","Heavy Rain")</f>
        <v>Mist</v>
      </c>
      <c r="S491" s="2" t="str">
        <f>TEXT(BikeData[[#This Row],[Date]],"mmm")</f>
        <v>Jan</v>
      </c>
    </row>
    <row r="492" spans="1:19" x14ac:dyDescent="0.3">
      <c r="A492">
        <v>491</v>
      </c>
      <c r="B492" s="5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 s="6">
        <f>BikeData[[#This Row],[Temperature]]</f>
        <v>0.06</v>
      </c>
      <c r="L492">
        <f>IFERROR(VLOOKUP(BikeData[[#This Row],[Intents]],[1]!Table2[#Data],3,FALSE),"")</f>
        <v>0.38</v>
      </c>
      <c r="M492">
        <f>IFERROR(VLOOKUP(BikeData[[#This Row],[Intents]],[1]!Table2[#Data],4,FALSE),"")</f>
        <v>0.1045</v>
      </c>
      <c r="N492">
        <f>IFERROR(VLOOKUP(BikeData[[#This Row],[Intents]],[1]!Table2[#Data],5,FALSE),"")</f>
        <v>10</v>
      </c>
      <c r="O492">
        <f>IFERROR(VLOOKUP(BikeData[[#This Row],[Intents]],[1]!Table2[#Data],6,FALSE),"")</f>
        <v>60</v>
      </c>
      <c r="P492">
        <f>IFERROR(VLOOKUP(BikeData[[#This Row],[Intents]],[1]!Table2[#Data],7,FALSE),"")</f>
        <v>70</v>
      </c>
      <c r="Q492" s="2" t="str">
        <f>CHOOSE(BikeData[[#This Row],[Season]],"Spring","Summer","Fall","Winter")</f>
        <v>Spring</v>
      </c>
      <c r="R492" s="2" t="str">
        <f>CHOOSE(BikeData[[#This Row],[Weathersituation]],"Clear","Mist","Light Rain","Heavy Rain")</f>
        <v>Mist</v>
      </c>
      <c r="S492" s="2" t="str">
        <f>TEXT(BikeData[[#This Row],[Date]],"mmm")</f>
        <v>Jan</v>
      </c>
    </row>
    <row r="493" spans="1:19" x14ac:dyDescent="0.3">
      <c r="A493">
        <v>492</v>
      </c>
      <c r="B493" s="5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 s="6">
        <f>BikeData[[#This Row],[Temperature]]</f>
        <v>0.08</v>
      </c>
      <c r="L493">
        <f>IFERROR(VLOOKUP(BikeData[[#This Row],[Intents]],[1]!Table2[#Data],3,FALSE),"")</f>
        <v>0.35</v>
      </c>
      <c r="M493">
        <f>IFERROR(VLOOKUP(BikeData[[#This Row],[Intents]],[1]!Table2[#Data],4,FALSE),"")</f>
        <v>0</v>
      </c>
      <c r="N493">
        <f>IFERROR(VLOOKUP(BikeData[[#This Row],[Intents]],[1]!Table2[#Data],5,FALSE),"")</f>
        <v>12</v>
      </c>
      <c r="O493">
        <f>IFERROR(VLOOKUP(BikeData[[#This Row],[Intents]],[1]!Table2[#Data],6,FALSE),"")</f>
        <v>72</v>
      </c>
      <c r="P493">
        <f>IFERROR(VLOOKUP(BikeData[[#This Row],[Intents]],[1]!Table2[#Data],7,FALSE),"")</f>
        <v>84</v>
      </c>
      <c r="Q493" s="2" t="str">
        <f>CHOOSE(BikeData[[#This Row],[Season]],"Spring","Summer","Fall","Winter")</f>
        <v>Spring</v>
      </c>
      <c r="R493" s="2" t="str">
        <f>CHOOSE(BikeData[[#This Row],[Weathersituation]],"Clear","Mist","Light Rain","Heavy Rain")</f>
        <v>Clear</v>
      </c>
      <c r="S493" s="2" t="str">
        <f>TEXT(BikeData[[#This Row],[Date]],"mmm")</f>
        <v>Jan</v>
      </c>
    </row>
    <row r="494" spans="1:19" x14ac:dyDescent="0.3">
      <c r="A494">
        <v>493</v>
      </c>
      <c r="B494" s="5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 s="6">
        <f>BikeData[[#This Row],[Temperature]]</f>
        <v>0.1</v>
      </c>
      <c r="L494">
        <f>IFERROR(VLOOKUP(BikeData[[#This Row],[Intents]],[1]!Table2[#Data],3,FALSE),"")</f>
        <v>0.33</v>
      </c>
      <c r="M494">
        <f>IFERROR(VLOOKUP(BikeData[[#This Row],[Intents]],[1]!Table2[#Data],4,FALSE),"")</f>
        <v>0.1045</v>
      </c>
      <c r="N494">
        <f>IFERROR(VLOOKUP(BikeData[[#This Row],[Intents]],[1]!Table2[#Data],5,FALSE),"")</f>
        <v>11</v>
      </c>
      <c r="O494">
        <f>IFERROR(VLOOKUP(BikeData[[#This Row],[Intents]],[1]!Table2[#Data],6,FALSE),"")</f>
        <v>64</v>
      </c>
      <c r="P494">
        <f>IFERROR(VLOOKUP(BikeData[[#This Row],[Intents]],[1]!Table2[#Data],7,FALSE),"")</f>
        <v>75</v>
      </c>
      <c r="Q494" s="2" t="str">
        <f>CHOOSE(BikeData[[#This Row],[Season]],"Spring","Summer","Fall","Winter")</f>
        <v>Spring</v>
      </c>
      <c r="R494" s="2" t="str">
        <f>CHOOSE(BikeData[[#This Row],[Weathersituation]],"Clear","Mist","Light Rain","Heavy Rain")</f>
        <v>Clear</v>
      </c>
      <c r="S494" s="2" t="str">
        <f>TEXT(BikeData[[#This Row],[Date]],"mmm")</f>
        <v>Jan</v>
      </c>
    </row>
    <row r="495" spans="1:19" x14ac:dyDescent="0.3">
      <c r="A495">
        <v>494</v>
      </c>
      <c r="B495" s="5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 s="6">
        <f>BikeData[[#This Row],[Temperature]]</f>
        <v>0.12</v>
      </c>
      <c r="L495">
        <f>IFERROR(VLOOKUP(BikeData[[#This Row],[Intents]],[1]!Table2[#Data],3,FALSE),"")</f>
        <v>0.28000000000000003</v>
      </c>
      <c r="M495">
        <f>IFERROR(VLOOKUP(BikeData[[#This Row],[Intents]],[1]!Table2[#Data],4,FALSE),"")</f>
        <v>0</v>
      </c>
      <c r="N495">
        <f>IFERROR(VLOOKUP(BikeData[[#This Row],[Intents]],[1]!Table2[#Data],5,FALSE),"")</f>
        <v>10</v>
      </c>
      <c r="O495">
        <f>IFERROR(VLOOKUP(BikeData[[#This Row],[Intents]],[1]!Table2[#Data],6,FALSE),"")</f>
        <v>93</v>
      </c>
      <c r="P495">
        <f>IFERROR(VLOOKUP(BikeData[[#This Row],[Intents]],[1]!Table2[#Data],7,FALSE),"")</f>
        <v>103</v>
      </c>
      <c r="Q495" s="2" t="str">
        <f>CHOOSE(BikeData[[#This Row],[Season]],"Spring","Summer","Fall","Winter")</f>
        <v>Spring</v>
      </c>
      <c r="R495" s="2" t="str">
        <f>CHOOSE(BikeData[[#This Row],[Weathersituation]],"Clear","Mist","Light Rain","Heavy Rain")</f>
        <v>Clear</v>
      </c>
      <c r="S495" s="2" t="str">
        <f>TEXT(BikeData[[#This Row],[Date]],"mmm")</f>
        <v>Jan</v>
      </c>
    </row>
    <row r="496" spans="1:19" x14ac:dyDescent="0.3">
      <c r="A496">
        <v>495</v>
      </c>
      <c r="B496" s="5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 s="6">
        <f>BikeData[[#This Row],[Temperature]]</f>
        <v>0.12</v>
      </c>
      <c r="L496">
        <f>IFERROR(VLOOKUP(BikeData[[#This Row],[Intents]],[1]!Table2[#Data],3,FALSE),"")</f>
        <v>0.28000000000000003</v>
      </c>
      <c r="M496">
        <f>IFERROR(VLOOKUP(BikeData[[#This Row],[Intents]],[1]!Table2[#Data],4,FALSE),"")</f>
        <v>0.19400000000000001</v>
      </c>
      <c r="N496">
        <f>IFERROR(VLOOKUP(BikeData[[#This Row],[Intents]],[1]!Table2[#Data],5,FALSE),"")</f>
        <v>11</v>
      </c>
      <c r="O496">
        <f>IFERROR(VLOOKUP(BikeData[[#This Row],[Intents]],[1]!Table2[#Data],6,FALSE),"")</f>
        <v>72</v>
      </c>
      <c r="P496">
        <f>IFERROR(VLOOKUP(BikeData[[#This Row],[Intents]],[1]!Table2[#Data],7,FALSE),"")</f>
        <v>83</v>
      </c>
      <c r="Q496" s="2" t="str">
        <f>CHOOSE(BikeData[[#This Row],[Season]],"Spring","Summer","Fall","Winter")</f>
        <v>Spring</v>
      </c>
      <c r="R496" s="2" t="str">
        <f>CHOOSE(BikeData[[#This Row],[Weathersituation]],"Clear","Mist","Light Rain","Heavy Rain")</f>
        <v>Clear</v>
      </c>
      <c r="S496" s="2" t="str">
        <f>TEXT(BikeData[[#This Row],[Date]],"mmm")</f>
        <v>Jan</v>
      </c>
    </row>
    <row r="497" spans="1:19" x14ac:dyDescent="0.3">
      <c r="A497">
        <v>496</v>
      </c>
      <c r="B497" s="5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 s="6">
        <f>BikeData[[#This Row],[Temperature]]</f>
        <v>0.12</v>
      </c>
      <c r="L497">
        <f>IFERROR(VLOOKUP(BikeData[[#This Row],[Intents]],[1]!Table2[#Data],3,FALSE),"")</f>
        <v>0.28000000000000003</v>
      </c>
      <c r="M497">
        <f>IFERROR(VLOOKUP(BikeData[[#This Row],[Intents]],[1]!Table2[#Data],4,FALSE),"")</f>
        <v>0</v>
      </c>
      <c r="N497">
        <f>IFERROR(VLOOKUP(BikeData[[#This Row],[Intents]],[1]!Table2[#Data],5,FALSE),"")</f>
        <v>8</v>
      </c>
      <c r="O497">
        <f>IFERROR(VLOOKUP(BikeData[[#This Row],[Intents]],[1]!Table2[#Data],6,FALSE),"")</f>
        <v>59</v>
      </c>
      <c r="P497">
        <f>IFERROR(VLOOKUP(BikeData[[#This Row],[Intents]],[1]!Table2[#Data],7,FALSE),"")</f>
        <v>67</v>
      </c>
      <c r="Q497" s="2" t="str">
        <f>CHOOSE(BikeData[[#This Row],[Season]],"Spring","Summer","Fall","Winter")</f>
        <v>Spring</v>
      </c>
      <c r="R497" s="2" t="str">
        <f>CHOOSE(BikeData[[#This Row],[Weathersituation]],"Clear","Mist","Light Rain","Heavy Rain")</f>
        <v>Clear</v>
      </c>
      <c r="S497" s="2" t="str">
        <f>TEXT(BikeData[[#This Row],[Date]],"mmm")</f>
        <v>Jan</v>
      </c>
    </row>
    <row r="498" spans="1:19" x14ac:dyDescent="0.3">
      <c r="A498">
        <v>497</v>
      </c>
      <c r="B498" s="5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 s="6">
        <f>BikeData[[#This Row],[Temperature]]</f>
        <v>0.08</v>
      </c>
      <c r="L498">
        <f>IFERROR(VLOOKUP(BikeData[[#This Row],[Intents]],[1]!Table2[#Data],3,FALSE),"")</f>
        <v>0.35</v>
      </c>
      <c r="M498">
        <f>IFERROR(VLOOKUP(BikeData[[#This Row],[Intents]],[1]!Table2[#Data],4,FALSE),"")</f>
        <v>0.19400000000000001</v>
      </c>
      <c r="N498">
        <f>IFERROR(VLOOKUP(BikeData[[#This Row],[Intents]],[1]!Table2[#Data],5,FALSE),"")</f>
        <v>0</v>
      </c>
      <c r="O498">
        <f>IFERROR(VLOOKUP(BikeData[[#This Row],[Intents]],[1]!Table2[#Data],6,FALSE),"")</f>
        <v>54</v>
      </c>
      <c r="P498">
        <f>IFERROR(VLOOKUP(BikeData[[#This Row],[Intents]],[1]!Table2[#Data],7,FALSE),"")</f>
        <v>54</v>
      </c>
      <c r="Q498" s="2" t="str">
        <f>CHOOSE(BikeData[[#This Row],[Season]],"Spring","Summer","Fall","Winter")</f>
        <v>Spring</v>
      </c>
      <c r="R498" s="2" t="str">
        <f>CHOOSE(BikeData[[#This Row],[Weathersituation]],"Clear","Mist","Light Rain","Heavy Rain")</f>
        <v>Clear</v>
      </c>
      <c r="S498" s="2" t="str">
        <f>TEXT(BikeData[[#This Row],[Date]],"mmm")</f>
        <v>Jan</v>
      </c>
    </row>
    <row r="499" spans="1:19" x14ac:dyDescent="0.3">
      <c r="A499">
        <v>498</v>
      </c>
      <c r="B499" s="5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 s="6">
        <f>BikeData[[#This Row],[Temperature]]</f>
        <v>0.08</v>
      </c>
      <c r="L499">
        <f>IFERROR(VLOOKUP(BikeData[[#This Row],[Intents]],[1]!Table2[#Data],3,FALSE),"")</f>
        <v>0.35</v>
      </c>
      <c r="M499">
        <f>IFERROR(VLOOKUP(BikeData[[#This Row],[Intents]],[1]!Table2[#Data],4,FALSE),"")</f>
        <v>0.1343</v>
      </c>
      <c r="N499">
        <f>IFERROR(VLOOKUP(BikeData[[#This Row],[Intents]],[1]!Table2[#Data],5,FALSE),"")</f>
        <v>6</v>
      </c>
      <c r="O499">
        <f>IFERROR(VLOOKUP(BikeData[[#This Row],[Intents]],[1]!Table2[#Data],6,FALSE),"")</f>
        <v>53</v>
      </c>
      <c r="P499">
        <f>IFERROR(VLOOKUP(BikeData[[#This Row],[Intents]],[1]!Table2[#Data],7,FALSE),"")</f>
        <v>59</v>
      </c>
      <c r="Q499" s="2" t="str">
        <f>CHOOSE(BikeData[[#This Row],[Season]],"Spring","Summer","Fall","Winter")</f>
        <v>Spring</v>
      </c>
      <c r="R499" s="2" t="str">
        <f>CHOOSE(BikeData[[#This Row],[Weathersituation]],"Clear","Mist","Light Rain","Heavy Rain")</f>
        <v>Clear</v>
      </c>
      <c r="S499" s="2" t="str">
        <f>TEXT(BikeData[[#This Row],[Date]],"mmm")</f>
        <v>Jan</v>
      </c>
    </row>
    <row r="500" spans="1:19" x14ac:dyDescent="0.3">
      <c r="A500">
        <v>499</v>
      </c>
      <c r="B500" s="5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 s="6">
        <f>BikeData[[#This Row],[Temperature]]</f>
        <v>0.06</v>
      </c>
      <c r="L500">
        <f>IFERROR(VLOOKUP(BikeData[[#This Row],[Intents]],[1]!Table2[#Data],3,FALSE),"")</f>
        <v>0.45</v>
      </c>
      <c r="M500">
        <f>IFERROR(VLOOKUP(BikeData[[#This Row],[Intents]],[1]!Table2[#Data],4,FALSE),"")</f>
        <v>0.16420000000000001</v>
      </c>
      <c r="N500">
        <f>IFERROR(VLOOKUP(BikeData[[#This Row],[Intents]],[1]!Table2[#Data],5,FALSE),"")</f>
        <v>1</v>
      </c>
      <c r="O500">
        <f>IFERROR(VLOOKUP(BikeData[[#This Row],[Intents]],[1]!Table2[#Data],6,FALSE),"")</f>
        <v>44</v>
      </c>
      <c r="P500">
        <f>IFERROR(VLOOKUP(BikeData[[#This Row],[Intents]],[1]!Table2[#Data],7,FALSE),"")</f>
        <v>45</v>
      </c>
      <c r="Q500" s="2" t="str">
        <f>CHOOSE(BikeData[[#This Row],[Season]],"Spring","Summer","Fall","Winter")</f>
        <v>Spring</v>
      </c>
      <c r="R500" s="2" t="str">
        <f>CHOOSE(BikeData[[#This Row],[Weathersituation]],"Clear","Mist","Light Rain","Heavy Rain")</f>
        <v>Clear</v>
      </c>
      <c r="S500" s="2" t="str">
        <f>TEXT(BikeData[[#This Row],[Date]],"mmm")</f>
        <v>Jan</v>
      </c>
    </row>
    <row r="501" spans="1:19" x14ac:dyDescent="0.3">
      <c r="A501">
        <v>500</v>
      </c>
      <c r="B501" s="5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 s="6">
        <f>BikeData[[#This Row],[Temperature]]</f>
        <v>0.06</v>
      </c>
      <c r="L501">
        <f>IFERROR(VLOOKUP(BikeData[[#This Row],[Intents]],[1]!Table2[#Data],3,FALSE),"")</f>
        <v>0.41</v>
      </c>
      <c r="M501">
        <f>IFERROR(VLOOKUP(BikeData[[#This Row],[Intents]],[1]!Table2[#Data],4,FALSE),"")</f>
        <v>8.9599999999999999E-2</v>
      </c>
      <c r="N501">
        <f>IFERROR(VLOOKUP(BikeData[[#This Row],[Intents]],[1]!Table2[#Data],5,FALSE),"")</f>
        <v>0</v>
      </c>
      <c r="O501">
        <f>IFERROR(VLOOKUP(BikeData[[#This Row],[Intents]],[1]!Table2[#Data],6,FALSE),"")</f>
        <v>39</v>
      </c>
      <c r="P501">
        <f>IFERROR(VLOOKUP(BikeData[[#This Row],[Intents]],[1]!Table2[#Data],7,FALSE),"")</f>
        <v>39</v>
      </c>
      <c r="Q501" s="2" t="str">
        <f>CHOOSE(BikeData[[#This Row],[Season]],"Spring","Summer","Fall","Winter")</f>
        <v>Spring</v>
      </c>
      <c r="R501" s="2" t="str">
        <f>CHOOSE(BikeData[[#This Row],[Weathersituation]],"Clear","Mist","Light Rain","Heavy Rain")</f>
        <v>Clear</v>
      </c>
      <c r="S501" s="2" t="str">
        <f>TEXT(BikeData[[#This Row],[Date]],"mmm")</f>
        <v>Jan</v>
      </c>
    </row>
    <row r="502" spans="1:19" x14ac:dyDescent="0.3">
      <c r="A502">
        <v>501</v>
      </c>
      <c r="B502" s="5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 s="6">
        <f>BikeData[[#This Row],[Temperature]]</f>
        <v>0.06</v>
      </c>
      <c r="L502">
        <f>IFERROR(VLOOKUP(BikeData[[#This Row],[Intents]],[1]!Table2[#Data],3,FALSE),"")</f>
        <v>0.49</v>
      </c>
      <c r="M502">
        <f>IFERROR(VLOOKUP(BikeData[[#This Row],[Intents]],[1]!Table2[#Data],4,FALSE),"")</f>
        <v>0</v>
      </c>
      <c r="N502">
        <f>IFERROR(VLOOKUP(BikeData[[#This Row],[Intents]],[1]!Table2[#Data],5,FALSE),"")</f>
        <v>7</v>
      </c>
      <c r="O502">
        <f>IFERROR(VLOOKUP(BikeData[[#This Row],[Intents]],[1]!Table2[#Data],6,FALSE),"")</f>
        <v>23</v>
      </c>
      <c r="P502">
        <f>IFERROR(VLOOKUP(BikeData[[#This Row],[Intents]],[1]!Table2[#Data],7,FALSE),"")</f>
        <v>30</v>
      </c>
      <c r="Q502" s="2" t="str">
        <f>CHOOSE(BikeData[[#This Row],[Season]],"Spring","Summer","Fall","Winter")</f>
        <v>Spring</v>
      </c>
      <c r="R502" s="2" t="str">
        <f>CHOOSE(BikeData[[#This Row],[Weathersituation]],"Clear","Mist","Light Rain","Heavy Rain")</f>
        <v>Clear</v>
      </c>
      <c r="S502" s="2" t="str">
        <f>TEXT(BikeData[[#This Row],[Date]],"mmm")</f>
        <v>Jan</v>
      </c>
    </row>
    <row r="503" spans="1:19" x14ac:dyDescent="0.3">
      <c r="A503">
        <v>502</v>
      </c>
      <c r="B503" s="5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 s="6">
        <f>BikeData[[#This Row],[Temperature]]</f>
        <v>0.04</v>
      </c>
      <c r="L503">
        <f>IFERROR(VLOOKUP(BikeData[[#This Row],[Intents]],[1]!Table2[#Data],3,FALSE),"")</f>
        <v>0.56999999999999995</v>
      </c>
      <c r="M503">
        <f>IFERROR(VLOOKUP(BikeData[[#This Row],[Intents]],[1]!Table2[#Data],4,FALSE),"")</f>
        <v>0.1045</v>
      </c>
      <c r="N503">
        <f>IFERROR(VLOOKUP(BikeData[[#This Row],[Intents]],[1]!Table2[#Data],5,FALSE),"")</f>
        <v>2</v>
      </c>
      <c r="O503">
        <f>IFERROR(VLOOKUP(BikeData[[#This Row],[Intents]],[1]!Table2[#Data],6,FALSE),"")</f>
        <v>31</v>
      </c>
      <c r="P503">
        <f>IFERROR(VLOOKUP(BikeData[[#This Row],[Intents]],[1]!Table2[#Data],7,FALSE),"")</f>
        <v>33</v>
      </c>
      <c r="Q503" s="2" t="str">
        <f>CHOOSE(BikeData[[#This Row],[Season]],"Spring","Summer","Fall","Winter")</f>
        <v>Spring</v>
      </c>
      <c r="R503" s="2" t="str">
        <f>CHOOSE(BikeData[[#This Row],[Weathersituation]],"Clear","Mist","Light Rain","Heavy Rain")</f>
        <v>Clear</v>
      </c>
      <c r="S503" s="2" t="str">
        <f>TEXT(BikeData[[#This Row],[Date]],"mmm")</f>
        <v>Jan</v>
      </c>
    </row>
    <row r="504" spans="1:19" x14ac:dyDescent="0.3">
      <c r="A504">
        <v>503</v>
      </c>
      <c r="B504" s="5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 s="6">
        <f>BikeData[[#This Row],[Temperature]]</f>
        <v>0.04</v>
      </c>
      <c r="L504">
        <f>IFERROR(VLOOKUP(BikeData[[#This Row],[Intents]],[1]!Table2[#Data],3,FALSE),"")</f>
        <v>0.56999999999999995</v>
      </c>
      <c r="M504">
        <f>IFERROR(VLOOKUP(BikeData[[#This Row],[Intents]],[1]!Table2[#Data],4,FALSE),"")</f>
        <v>0.1045</v>
      </c>
      <c r="N504">
        <f>IFERROR(VLOOKUP(BikeData[[#This Row],[Intents]],[1]!Table2[#Data],5,FALSE),"")</f>
        <v>2</v>
      </c>
      <c r="O504">
        <f>IFERROR(VLOOKUP(BikeData[[#This Row],[Intents]],[1]!Table2[#Data],6,FALSE),"")</f>
        <v>20</v>
      </c>
      <c r="P504">
        <f>IFERROR(VLOOKUP(BikeData[[#This Row],[Intents]],[1]!Table2[#Data],7,FALSE),"")</f>
        <v>22</v>
      </c>
      <c r="Q504" s="2" t="str">
        <f>CHOOSE(BikeData[[#This Row],[Season]],"Spring","Summer","Fall","Winter")</f>
        <v>Spring</v>
      </c>
      <c r="R504" s="2" t="str">
        <f>CHOOSE(BikeData[[#This Row],[Weathersituation]],"Clear","Mist","Light Rain","Heavy Rain")</f>
        <v>Clear</v>
      </c>
      <c r="S504" s="2" t="str">
        <f>TEXT(BikeData[[#This Row],[Date]],"mmm")</f>
        <v>Jan</v>
      </c>
    </row>
    <row r="505" spans="1:19" x14ac:dyDescent="0.3">
      <c r="A505">
        <v>504</v>
      </c>
      <c r="B505" s="5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 s="6">
        <f>BikeData[[#This Row],[Temperature]]</f>
        <v>0.04</v>
      </c>
      <c r="L505">
        <f>IFERROR(VLOOKUP(BikeData[[#This Row],[Intents]],[1]!Table2[#Data],3,FALSE),"")</f>
        <v>0.56999999999999995</v>
      </c>
      <c r="M505">
        <f>IFERROR(VLOOKUP(BikeData[[#This Row],[Intents]],[1]!Table2[#Data],4,FALSE),"")</f>
        <v>0.1045</v>
      </c>
      <c r="N505">
        <f>IFERROR(VLOOKUP(BikeData[[#This Row],[Intents]],[1]!Table2[#Data],5,FALSE),"")</f>
        <v>1</v>
      </c>
      <c r="O505">
        <f>IFERROR(VLOOKUP(BikeData[[#This Row],[Intents]],[1]!Table2[#Data],6,FALSE),"")</f>
        <v>12</v>
      </c>
      <c r="P505">
        <f>IFERROR(VLOOKUP(BikeData[[#This Row],[Intents]],[1]!Table2[#Data],7,FALSE),"")</f>
        <v>13</v>
      </c>
      <c r="Q505" s="2" t="str">
        <f>CHOOSE(BikeData[[#This Row],[Season]],"Spring","Summer","Fall","Winter")</f>
        <v>Spring</v>
      </c>
      <c r="R505" s="2" t="str">
        <f>CHOOSE(BikeData[[#This Row],[Weathersituation]],"Clear","Mist","Light Rain","Heavy Rain")</f>
        <v>Clear</v>
      </c>
      <c r="S505" s="2" t="str">
        <f>TEXT(BikeData[[#This Row],[Date]],"mmm")</f>
        <v>Jan</v>
      </c>
    </row>
    <row r="506" spans="1:19" x14ac:dyDescent="0.3">
      <c r="A506">
        <v>505</v>
      </c>
      <c r="B506" s="5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 s="6">
        <f>BikeData[[#This Row],[Temperature]]</f>
        <v>0.02</v>
      </c>
      <c r="L506">
        <f>IFERROR(VLOOKUP(BikeData[[#This Row],[Intents]],[1]!Table2[#Data],3,FALSE),"")</f>
        <v>0.62</v>
      </c>
      <c r="M506">
        <f>IFERROR(VLOOKUP(BikeData[[#This Row],[Intents]],[1]!Table2[#Data],4,FALSE),"")</f>
        <v>0.1343</v>
      </c>
      <c r="N506">
        <f>IFERROR(VLOOKUP(BikeData[[#This Row],[Intents]],[1]!Table2[#Data],5,FALSE),"")</f>
        <v>3</v>
      </c>
      <c r="O506">
        <f>IFERROR(VLOOKUP(BikeData[[#This Row],[Intents]],[1]!Table2[#Data],6,FALSE),"")</f>
        <v>15</v>
      </c>
      <c r="P506">
        <f>IFERROR(VLOOKUP(BikeData[[#This Row],[Intents]],[1]!Table2[#Data],7,FALSE),"")</f>
        <v>18</v>
      </c>
      <c r="Q506" s="2" t="str">
        <f>CHOOSE(BikeData[[#This Row],[Season]],"Spring","Summer","Fall","Winter")</f>
        <v>Spring</v>
      </c>
      <c r="R506" s="2" t="str">
        <f>CHOOSE(BikeData[[#This Row],[Weathersituation]],"Clear","Mist","Light Rain","Heavy Rain")</f>
        <v>Clear</v>
      </c>
      <c r="S506" s="2" t="str">
        <f>TEXT(BikeData[[#This Row],[Date]],"mmm")</f>
        <v>Jan</v>
      </c>
    </row>
    <row r="507" spans="1:19" x14ac:dyDescent="0.3">
      <c r="A507">
        <v>506</v>
      </c>
      <c r="B507" s="5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 s="6">
        <f>BikeData[[#This Row],[Temperature]]</f>
        <v>0.02</v>
      </c>
      <c r="L507">
        <f>IFERROR(VLOOKUP(BikeData[[#This Row],[Intents]],[1]!Table2[#Data],3,FALSE),"")</f>
        <v>0.62</v>
      </c>
      <c r="M507">
        <f>IFERROR(VLOOKUP(BikeData[[#This Row],[Intents]],[1]!Table2[#Data],4,FALSE),"")</f>
        <v>0.1343</v>
      </c>
      <c r="N507">
        <f>IFERROR(VLOOKUP(BikeData[[#This Row],[Intents]],[1]!Table2[#Data],5,FALSE),"")</f>
        <v>1</v>
      </c>
      <c r="O507">
        <f>IFERROR(VLOOKUP(BikeData[[#This Row],[Intents]],[1]!Table2[#Data],6,FALSE),"")</f>
        <v>4</v>
      </c>
      <c r="P507">
        <f>IFERROR(VLOOKUP(BikeData[[#This Row],[Intents]],[1]!Table2[#Data],7,FALSE),"")</f>
        <v>5</v>
      </c>
      <c r="Q507" s="2" t="str">
        <f>CHOOSE(BikeData[[#This Row],[Season]],"Spring","Summer","Fall","Winter")</f>
        <v>Spring</v>
      </c>
      <c r="R507" s="2" t="str">
        <f>CHOOSE(BikeData[[#This Row],[Weathersituation]],"Clear","Mist","Light Rain","Heavy Rain")</f>
        <v>Clear</v>
      </c>
      <c r="S507" s="2" t="str">
        <f>TEXT(BikeData[[#This Row],[Date]],"mmm")</f>
        <v>Jan</v>
      </c>
    </row>
    <row r="508" spans="1:19" x14ac:dyDescent="0.3">
      <c r="A508">
        <v>507</v>
      </c>
      <c r="B508" s="5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 s="6">
        <f>BikeData[[#This Row],[Temperature]]</f>
        <v>0.04</v>
      </c>
      <c r="L508">
        <f>IFERROR(VLOOKUP(BikeData[[#This Row],[Intents]],[1]!Table2[#Data],3,FALSE),"")</f>
        <v>0.56999999999999995</v>
      </c>
      <c r="M508">
        <f>IFERROR(VLOOKUP(BikeData[[#This Row],[Intents]],[1]!Table2[#Data],4,FALSE),"")</f>
        <v>0.1045</v>
      </c>
      <c r="N508">
        <f>IFERROR(VLOOKUP(BikeData[[#This Row],[Intents]],[1]!Table2[#Data],5,FALSE),"")</f>
        <v>0</v>
      </c>
      <c r="O508">
        <f>IFERROR(VLOOKUP(BikeData[[#This Row],[Intents]],[1]!Table2[#Data],6,FALSE),"")</f>
        <v>3</v>
      </c>
      <c r="P508">
        <f>IFERROR(VLOOKUP(BikeData[[#This Row],[Intents]],[1]!Table2[#Data],7,FALSE),"")</f>
        <v>3</v>
      </c>
      <c r="Q508" s="2" t="str">
        <f>CHOOSE(BikeData[[#This Row],[Season]],"Spring","Summer","Fall","Winter")</f>
        <v>Spring</v>
      </c>
      <c r="R508" s="2" t="str">
        <f>CHOOSE(BikeData[[#This Row],[Weathersituation]],"Clear","Mist","Light Rain","Heavy Rain")</f>
        <v>Mist</v>
      </c>
      <c r="S508" s="2" t="str">
        <f>TEXT(BikeData[[#This Row],[Date]],"mmm")</f>
        <v>Jan</v>
      </c>
    </row>
    <row r="509" spans="1:19" x14ac:dyDescent="0.3">
      <c r="A509">
        <v>508</v>
      </c>
      <c r="B509" s="5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 s="6">
        <f>BikeData[[#This Row],[Temperature]]</f>
        <v>0.04</v>
      </c>
      <c r="L509">
        <f>IFERROR(VLOOKUP(BikeData[[#This Row],[Intents]],[1]!Table2[#Data],3,FALSE),"")</f>
        <v>0.56999999999999995</v>
      </c>
      <c r="M509">
        <f>IFERROR(VLOOKUP(BikeData[[#This Row],[Intents]],[1]!Table2[#Data],4,FALSE),"")</f>
        <v>0.1045</v>
      </c>
      <c r="N509">
        <f>IFERROR(VLOOKUP(BikeData[[#This Row],[Intents]],[1]!Table2[#Data],5,FALSE),"")</f>
        <v>0</v>
      </c>
      <c r="O509">
        <f>IFERROR(VLOOKUP(BikeData[[#This Row],[Intents]],[1]!Table2[#Data],6,FALSE),"")</f>
        <v>1</v>
      </c>
      <c r="P509">
        <f>IFERROR(VLOOKUP(BikeData[[#This Row],[Intents]],[1]!Table2[#Data],7,FALSE),"")</f>
        <v>1</v>
      </c>
      <c r="Q509" s="2" t="str">
        <f>CHOOSE(BikeData[[#This Row],[Season]],"Spring","Summer","Fall","Winter")</f>
        <v>Spring</v>
      </c>
      <c r="R509" s="2" t="str">
        <f>CHOOSE(BikeData[[#This Row],[Weathersituation]],"Clear","Mist","Light Rain","Heavy Rain")</f>
        <v>Mist</v>
      </c>
      <c r="S509" s="2" t="str">
        <f>TEXT(BikeData[[#This Row],[Date]],"mmm")</f>
        <v>Jan</v>
      </c>
    </row>
    <row r="510" spans="1:19" x14ac:dyDescent="0.3">
      <c r="A510">
        <v>509</v>
      </c>
      <c r="B510" s="5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 s="6">
        <f>BikeData[[#This Row],[Temperature]]</f>
        <v>0.08</v>
      </c>
      <c r="L510">
        <f>IFERROR(VLOOKUP(BikeData[[#This Row],[Intents]],[1]!Table2[#Data],3,FALSE),"")</f>
        <v>0.57999999999999996</v>
      </c>
      <c r="M510">
        <f>IFERROR(VLOOKUP(BikeData[[#This Row],[Intents]],[1]!Table2[#Data],4,FALSE),"")</f>
        <v>0.16420000000000001</v>
      </c>
      <c r="N510">
        <f>IFERROR(VLOOKUP(BikeData[[#This Row],[Intents]],[1]!Table2[#Data],5,FALSE),"")</f>
        <v>1</v>
      </c>
      <c r="O510">
        <f>IFERROR(VLOOKUP(BikeData[[#This Row],[Intents]],[1]!Table2[#Data],6,FALSE),"")</f>
        <v>1</v>
      </c>
      <c r="P510">
        <f>IFERROR(VLOOKUP(BikeData[[#This Row],[Intents]],[1]!Table2[#Data],7,FALSE),"")</f>
        <v>2</v>
      </c>
      <c r="Q510" s="2" t="str">
        <f>CHOOSE(BikeData[[#This Row],[Season]],"Spring","Summer","Fall","Winter")</f>
        <v>Spring</v>
      </c>
      <c r="R510" s="2" t="str">
        <f>CHOOSE(BikeData[[#This Row],[Weathersituation]],"Clear","Mist","Light Rain","Heavy Rain")</f>
        <v>Clear</v>
      </c>
      <c r="S510" s="2" t="str">
        <f>TEXT(BikeData[[#This Row],[Date]],"mmm")</f>
        <v>Jan</v>
      </c>
    </row>
    <row r="511" spans="1:19" x14ac:dyDescent="0.3">
      <c r="A511">
        <v>510</v>
      </c>
      <c r="B511" s="5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 s="6">
        <f>BikeData[[#This Row],[Temperature]]</f>
        <v>0.06</v>
      </c>
      <c r="L511">
        <f>IFERROR(VLOOKUP(BikeData[[#This Row],[Intents]],[1]!Table2[#Data],3,FALSE),"")</f>
        <v>0.62</v>
      </c>
      <c r="M511">
        <f>IFERROR(VLOOKUP(BikeData[[#This Row],[Intents]],[1]!Table2[#Data],4,FALSE),"")</f>
        <v>0.16420000000000001</v>
      </c>
      <c r="N511">
        <f>IFERROR(VLOOKUP(BikeData[[#This Row],[Intents]],[1]!Table2[#Data],5,FALSE),"")</f>
        <v>2</v>
      </c>
      <c r="O511">
        <f>IFERROR(VLOOKUP(BikeData[[#This Row],[Intents]],[1]!Table2[#Data],6,FALSE),"")</f>
        <v>17</v>
      </c>
      <c r="P511">
        <f>IFERROR(VLOOKUP(BikeData[[#This Row],[Intents]],[1]!Table2[#Data],7,FALSE),"")</f>
        <v>19</v>
      </c>
      <c r="Q511" s="2" t="str">
        <f>CHOOSE(BikeData[[#This Row],[Season]],"Spring","Summer","Fall","Winter")</f>
        <v>Spring</v>
      </c>
      <c r="R511" s="2" t="str">
        <f>CHOOSE(BikeData[[#This Row],[Weathersituation]],"Clear","Mist","Light Rain","Heavy Rain")</f>
        <v>Clear</v>
      </c>
      <c r="S511" s="2" t="str">
        <f>TEXT(BikeData[[#This Row],[Date]],"mmm")</f>
        <v>Jan</v>
      </c>
    </row>
    <row r="512" spans="1:19" x14ac:dyDescent="0.3">
      <c r="A512">
        <v>511</v>
      </c>
      <c r="B512" s="5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 s="6">
        <f>BikeData[[#This Row],[Temperature]]</f>
        <v>0.1</v>
      </c>
      <c r="L512">
        <f>IFERROR(VLOOKUP(BikeData[[#This Row],[Intents]],[1]!Table2[#Data],3,FALSE),"")</f>
        <v>0.54</v>
      </c>
      <c r="M512">
        <f>IFERROR(VLOOKUP(BikeData[[#This Row],[Intents]],[1]!Table2[#Data],4,FALSE),"")</f>
        <v>0.35820000000000002</v>
      </c>
      <c r="N512">
        <f>IFERROR(VLOOKUP(BikeData[[#This Row],[Intents]],[1]!Table2[#Data],5,FALSE),"")</f>
        <v>3</v>
      </c>
      <c r="O512">
        <f>IFERROR(VLOOKUP(BikeData[[#This Row],[Intents]],[1]!Table2[#Data],6,FALSE),"")</f>
        <v>25</v>
      </c>
      <c r="P512">
        <f>IFERROR(VLOOKUP(BikeData[[#This Row],[Intents]],[1]!Table2[#Data],7,FALSE),"")</f>
        <v>28</v>
      </c>
      <c r="Q512" s="2" t="str">
        <f>CHOOSE(BikeData[[#This Row],[Season]],"Spring","Summer","Fall","Winter")</f>
        <v>Spring</v>
      </c>
      <c r="R512" s="2" t="str">
        <f>CHOOSE(BikeData[[#This Row],[Weathersituation]],"Clear","Mist","Light Rain","Heavy Rain")</f>
        <v>Clear</v>
      </c>
      <c r="S512" s="2" t="str">
        <f>TEXT(BikeData[[#This Row],[Date]],"mmm")</f>
        <v>Jan</v>
      </c>
    </row>
    <row r="513" spans="1:19" x14ac:dyDescent="0.3">
      <c r="A513">
        <v>512</v>
      </c>
      <c r="B513" s="5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 s="6">
        <f>BikeData[[#This Row],[Temperature]]</f>
        <v>0.14000000000000001</v>
      </c>
      <c r="L513">
        <f>IFERROR(VLOOKUP(BikeData[[#This Row],[Intents]],[1]!Table2[#Data],3,FALSE),"")</f>
        <v>0.46</v>
      </c>
      <c r="M513">
        <f>IFERROR(VLOOKUP(BikeData[[#This Row],[Intents]],[1]!Table2[#Data],4,FALSE),"")</f>
        <v>0.3881</v>
      </c>
      <c r="N513">
        <f>IFERROR(VLOOKUP(BikeData[[#This Row],[Intents]],[1]!Table2[#Data],5,FALSE),"")</f>
        <v>7</v>
      </c>
      <c r="O513">
        <f>IFERROR(VLOOKUP(BikeData[[#This Row],[Intents]],[1]!Table2[#Data],6,FALSE),"")</f>
        <v>51</v>
      </c>
      <c r="P513">
        <f>IFERROR(VLOOKUP(BikeData[[#This Row],[Intents]],[1]!Table2[#Data],7,FALSE),"")</f>
        <v>58</v>
      </c>
      <c r="Q513" s="2" t="str">
        <f>CHOOSE(BikeData[[#This Row],[Season]],"Spring","Summer","Fall","Winter")</f>
        <v>Spring</v>
      </c>
      <c r="R513" s="2" t="str">
        <f>CHOOSE(BikeData[[#This Row],[Weathersituation]],"Clear","Mist","Light Rain","Heavy Rain")</f>
        <v>Clear</v>
      </c>
      <c r="S513" s="2" t="str">
        <f>TEXT(BikeData[[#This Row],[Date]],"mmm")</f>
        <v>Jan</v>
      </c>
    </row>
    <row r="514" spans="1:19" x14ac:dyDescent="0.3">
      <c r="A514">
        <v>513</v>
      </c>
      <c r="B514" s="5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 s="6">
        <f>BikeData[[#This Row],[Temperature]]</f>
        <v>0.14000000000000001</v>
      </c>
      <c r="L514">
        <f>IFERROR(VLOOKUP(BikeData[[#This Row],[Intents]],[1]!Table2[#Data],3,FALSE),"")</f>
        <v>0.43</v>
      </c>
      <c r="M514">
        <f>IFERROR(VLOOKUP(BikeData[[#This Row],[Intents]],[1]!Table2[#Data],4,FALSE),"")</f>
        <v>0.22389999999999999</v>
      </c>
      <c r="N514">
        <f>IFERROR(VLOOKUP(BikeData[[#This Row],[Intents]],[1]!Table2[#Data],5,FALSE),"")</f>
        <v>22</v>
      </c>
      <c r="O514">
        <f>IFERROR(VLOOKUP(BikeData[[#This Row],[Intents]],[1]!Table2[#Data],6,FALSE),"")</f>
        <v>77</v>
      </c>
      <c r="P514">
        <f>IFERROR(VLOOKUP(BikeData[[#This Row],[Intents]],[1]!Table2[#Data],7,FALSE),"")</f>
        <v>99</v>
      </c>
      <c r="Q514" s="2" t="str">
        <f>CHOOSE(BikeData[[#This Row],[Season]],"Spring","Summer","Fall","Winter")</f>
        <v>Spring</v>
      </c>
      <c r="R514" s="2" t="str">
        <f>CHOOSE(BikeData[[#This Row],[Weathersituation]],"Clear","Mist","Light Rain","Heavy Rain")</f>
        <v>Clear</v>
      </c>
      <c r="S514" s="2" t="str">
        <f>TEXT(BikeData[[#This Row],[Date]],"mmm")</f>
        <v>Jan</v>
      </c>
    </row>
    <row r="515" spans="1:19" x14ac:dyDescent="0.3">
      <c r="A515">
        <v>514</v>
      </c>
      <c r="B515" s="5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 s="6">
        <f>BikeData[[#This Row],[Temperature]]</f>
        <v>0.16</v>
      </c>
      <c r="L515">
        <f>IFERROR(VLOOKUP(BikeData[[#This Row],[Intents]],[1]!Table2[#Data],3,FALSE),"")</f>
        <v>0.37</v>
      </c>
      <c r="M515">
        <f>IFERROR(VLOOKUP(BikeData[[#This Row],[Intents]],[1]!Table2[#Data],4,FALSE),"")</f>
        <v>0.4627</v>
      </c>
      <c r="N515">
        <f>IFERROR(VLOOKUP(BikeData[[#This Row],[Intents]],[1]!Table2[#Data],5,FALSE),"")</f>
        <v>24</v>
      </c>
      <c r="O515">
        <f>IFERROR(VLOOKUP(BikeData[[#This Row],[Intents]],[1]!Table2[#Data],6,FALSE),"")</f>
        <v>92</v>
      </c>
      <c r="P515">
        <f>IFERROR(VLOOKUP(BikeData[[#This Row],[Intents]],[1]!Table2[#Data],7,FALSE),"")</f>
        <v>116</v>
      </c>
      <c r="Q515" s="2" t="str">
        <f>CHOOSE(BikeData[[#This Row],[Season]],"Spring","Summer","Fall","Winter")</f>
        <v>Spring</v>
      </c>
      <c r="R515" s="2" t="str">
        <f>CHOOSE(BikeData[[#This Row],[Weathersituation]],"Clear","Mist","Light Rain","Heavy Rain")</f>
        <v>Clear</v>
      </c>
      <c r="S515" s="2" t="str">
        <f>TEXT(BikeData[[#This Row],[Date]],"mmm")</f>
        <v>Jan</v>
      </c>
    </row>
    <row r="516" spans="1:19" x14ac:dyDescent="0.3">
      <c r="A516">
        <v>515</v>
      </c>
      <c r="B516" s="5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 s="6">
        <f>BikeData[[#This Row],[Temperature]]</f>
        <v>0.14000000000000001</v>
      </c>
      <c r="L516">
        <f>IFERROR(VLOOKUP(BikeData[[#This Row],[Intents]],[1]!Table2[#Data],3,FALSE),"")</f>
        <v>0.33</v>
      </c>
      <c r="M516">
        <f>IFERROR(VLOOKUP(BikeData[[#This Row],[Intents]],[1]!Table2[#Data],4,FALSE),"")</f>
        <v>0.3881</v>
      </c>
      <c r="N516">
        <f>IFERROR(VLOOKUP(BikeData[[#This Row],[Intents]],[1]!Table2[#Data],5,FALSE),"")</f>
        <v>12</v>
      </c>
      <c r="O516">
        <f>IFERROR(VLOOKUP(BikeData[[#This Row],[Intents]],[1]!Table2[#Data],6,FALSE),"")</f>
        <v>75</v>
      </c>
      <c r="P516">
        <f>IFERROR(VLOOKUP(BikeData[[#This Row],[Intents]],[1]!Table2[#Data],7,FALSE),"")</f>
        <v>87</v>
      </c>
      <c r="Q516" s="2" t="str">
        <f>CHOOSE(BikeData[[#This Row],[Season]],"Spring","Summer","Fall","Winter")</f>
        <v>Spring</v>
      </c>
      <c r="R516" s="2" t="str">
        <f>CHOOSE(BikeData[[#This Row],[Weathersituation]],"Clear","Mist","Light Rain","Heavy Rain")</f>
        <v>Clear</v>
      </c>
      <c r="S516" s="2" t="str">
        <f>TEXT(BikeData[[#This Row],[Date]],"mmm")</f>
        <v>Jan</v>
      </c>
    </row>
    <row r="517" spans="1:19" x14ac:dyDescent="0.3">
      <c r="A517">
        <v>516</v>
      </c>
      <c r="B517" s="5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 s="6">
        <f>BikeData[[#This Row],[Temperature]]</f>
        <v>0.16</v>
      </c>
      <c r="L517">
        <f>IFERROR(VLOOKUP(BikeData[[#This Row],[Intents]],[1]!Table2[#Data],3,FALSE),"")</f>
        <v>0.28000000000000003</v>
      </c>
      <c r="M517">
        <f>IFERROR(VLOOKUP(BikeData[[#This Row],[Intents]],[1]!Table2[#Data],4,FALSE),"")</f>
        <v>0.35820000000000002</v>
      </c>
      <c r="N517">
        <f>IFERROR(VLOOKUP(BikeData[[#This Row],[Intents]],[1]!Table2[#Data],5,FALSE),"")</f>
        <v>17</v>
      </c>
      <c r="O517">
        <f>IFERROR(VLOOKUP(BikeData[[#This Row],[Intents]],[1]!Table2[#Data],6,FALSE),"")</f>
        <v>93</v>
      </c>
      <c r="P517">
        <f>IFERROR(VLOOKUP(BikeData[[#This Row],[Intents]],[1]!Table2[#Data],7,FALSE),"")</f>
        <v>110</v>
      </c>
      <c r="Q517" s="2" t="str">
        <f>CHOOSE(BikeData[[#This Row],[Season]],"Spring","Summer","Fall","Winter")</f>
        <v>Spring</v>
      </c>
      <c r="R517" s="2" t="str">
        <f>CHOOSE(BikeData[[#This Row],[Weathersituation]],"Clear","Mist","Light Rain","Heavy Rain")</f>
        <v>Clear</v>
      </c>
      <c r="S517" s="2" t="str">
        <f>TEXT(BikeData[[#This Row],[Date]],"mmm")</f>
        <v>Jan</v>
      </c>
    </row>
    <row r="518" spans="1:19" x14ac:dyDescent="0.3">
      <c r="A518">
        <v>517</v>
      </c>
      <c r="B518" s="5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 s="6">
        <f>BikeData[[#This Row],[Temperature]]</f>
        <v>0.16</v>
      </c>
      <c r="L518">
        <f>IFERROR(VLOOKUP(BikeData[[#This Row],[Intents]],[1]!Table2[#Data],3,FALSE),"")</f>
        <v>0.28000000000000003</v>
      </c>
      <c r="M518">
        <f>IFERROR(VLOOKUP(BikeData[[#This Row],[Intents]],[1]!Table2[#Data],4,FALSE),"")</f>
        <v>0.35820000000000002</v>
      </c>
      <c r="N518">
        <f>IFERROR(VLOOKUP(BikeData[[#This Row],[Intents]],[1]!Table2[#Data],5,FALSE),"")</f>
        <v>13</v>
      </c>
      <c r="O518">
        <f>IFERROR(VLOOKUP(BikeData[[#This Row],[Intents]],[1]!Table2[#Data],6,FALSE),"")</f>
        <v>64</v>
      </c>
      <c r="P518">
        <f>IFERROR(VLOOKUP(BikeData[[#This Row],[Intents]],[1]!Table2[#Data],7,FALSE),"")</f>
        <v>77</v>
      </c>
      <c r="Q518" s="2" t="str">
        <f>CHOOSE(BikeData[[#This Row],[Season]],"Spring","Summer","Fall","Winter")</f>
        <v>Spring</v>
      </c>
      <c r="R518" s="2" t="str">
        <f>CHOOSE(BikeData[[#This Row],[Weathersituation]],"Clear","Mist","Light Rain","Heavy Rain")</f>
        <v>Clear</v>
      </c>
      <c r="S518" s="2" t="str">
        <f>TEXT(BikeData[[#This Row],[Date]],"mmm")</f>
        <v>Jan</v>
      </c>
    </row>
    <row r="519" spans="1:19" x14ac:dyDescent="0.3">
      <c r="A519">
        <v>518</v>
      </c>
      <c r="B519" s="5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 s="6">
        <f>BikeData[[#This Row],[Temperature]]</f>
        <v>0.16</v>
      </c>
      <c r="L519">
        <f>IFERROR(VLOOKUP(BikeData[[#This Row],[Intents]],[1]!Table2[#Data],3,FALSE),"")</f>
        <v>0.26</v>
      </c>
      <c r="M519">
        <f>IFERROR(VLOOKUP(BikeData[[#This Row],[Intents]],[1]!Table2[#Data],4,FALSE),"")</f>
        <v>0.32840000000000003</v>
      </c>
      <c r="N519">
        <f>IFERROR(VLOOKUP(BikeData[[#This Row],[Intents]],[1]!Table2[#Data],5,FALSE),"")</f>
        <v>9</v>
      </c>
      <c r="O519">
        <f>IFERROR(VLOOKUP(BikeData[[#This Row],[Intents]],[1]!Table2[#Data],6,FALSE),"")</f>
        <v>56</v>
      </c>
      <c r="P519">
        <f>IFERROR(VLOOKUP(BikeData[[#This Row],[Intents]],[1]!Table2[#Data],7,FALSE),"")</f>
        <v>65</v>
      </c>
      <c r="Q519" s="2" t="str">
        <f>CHOOSE(BikeData[[#This Row],[Season]],"Spring","Summer","Fall","Winter")</f>
        <v>Spring</v>
      </c>
      <c r="R519" s="2" t="str">
        <f>CHOOSE(BikeData[[#This Row],[Weathersituation]],"Clear","Mist","Light Rain","Heavy Rain")</f>
        <v>Clear</v>
      </c>
      <c r="S519" s="2" t="str">
        <f>TEXT(BikeData[[#This Row],[Date]],"mmm")</f>
        <v>Jan</v>
      </c>
    </row>
    <row r="520" spans="1:19" x14ac:dyDescent="0.3">
      <c r="A520">
        <v>519</v>
      </c>
      <c r="B520" s="5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 s="6">
        <f>BikeData[[#This Row],[Temperature]]</f>
        <v>0.14000000000000001</v>
      </c>
      <c r="L520">
        <f>IFERROR(VLOOKUP(BikeData[[#This Row],[Intents]],[1]!Table2[#Data],3,FALSE),"")</f>
        <v>0.26</v>
      </c>
      <c r="M520">
        <f>IFERROR(VLOOKUP(BikeData[[#This Row],[Intents]],[1]!Table2[#Data],4,FALSE),"")</f>
        <v>0.3881</v>
      </c>
      <c r="N520">
        <f>IFERROR(VLOOKUP(BikeData[[#This Row],[Intents]],[1]!Table2[#Data],5,FALSE),"")</f>
        <v>5</v>
      </c>
      <c r="O520">
        <f>IFERROR(VLOOKUP(BikeData[[#This Row],[Intents]],[1]!Table2[#Data],6,FALSE),"")</f>
        <v>50</v>
      </c>
      <c r="P520">
        <f>IFERROR(VLOOKUP(BikeData[[#This Row],[Intents]],[1]!Table2[#Data],7,FALSE),"")</f>
        <v>55</v>
      </c>
      <c r="Q520" s="2" t="str">
        <f>CHOOSE(BikeData[[#This Row],[Season]],"Spring","Summer","Fall","Winter")</f>
        <v>Spring</v>
      </c>
      <c r="R520" s="2" t="str">
        <f>CHOOSE(BikeData[[#This Row],[Weathersituation]],"Clear","Mist","Light Rain","Heavy Rain")</f>
        <v>Clear</v>
      </c>
      <c r="S520" s="2" t="str">
        <f>TEXT(BikeData[[#This Row],[Date]],"mmm")</f>
        <v>Jan</v>
      </c>
    </row>
    <row r="521" spans="1:19" x14ac:dyDescent="0.3">
      <c r="A521">
        <v>520</v>
      </c>
      <c r="B521" s="5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 s="6">
        <f>BikeData[[#This Row],[Temperature]]</f>
        <v>0.12</v>
      </c>
      <c r="L521">
        <f>IFERROR(VLOOKUP(BikeData[[#This Row],[Intents]],[1]!Table2[#Data],3,FALSE),"")</f>
        <v>0.3</v>
      </c>
      <c r="M521">
        <f>IFERROR(VLOOKUP(BikeData[[#This Row],[Intents]],[1]!Table2[#Data],4,FALSE),"")</f>
        <v>0.25369999999999998</v>
      </c>
      <c r="N521">
        <f>IFERROR(VLOOKUP(BikeData[[#This Row],[Intents]],[1]!Table2[#Data],5,FALSE),"")</f>
        <v>5</v>
      </c>
      <c r="O521">
        <f>IFERROR(VLOOKUP(BikeData[[#This Row],[Intents]],[1]!Table2[#Data],6,FALSE),"")</f>
        <v>44</v>
      </c>
      <c r="P521">
        <f>IFERROR(VLOOKUP(BikeData[[#This Row],[Intents]],[1]!Table2[#Data],7,FALSE),"")</f>
        <v>49</v>
      </c>
      <c r="Q521" s="2" t="str">
        <f>CHOOSE(BikeData[[#This Row],[Season]],"Spring","Summer","Fall","Winter")</f>
        <v>Spring</v>
      </c>
      <c r="R521" s="2" t="str">
        <f>CHOOSE(BikeData[[#This Row],[Weathersituation]],"Clear","Mist","Light Rain","Heavy Rain")</f>
        <v>Clear</v>
      </c>
      <c r="S521" s="2" t="str">
        <f>TEXT(BikeData[[#This Row],[Date]],"mmm")</f>
        <v>Jan</v>
      </c>
    </row>
    <row r="522" spans="1:19" x14ac:dyDescent="0.3">
      <c r="A522">
        <v>521</v>
      </c>
      <c r="B522" s="5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 s="6">
        <f>BikeData[[#This Row],[Temperature]]</f>
        <v>0.12</v>
      </c>
      <c r="L522">
        <f>IFERROR(VLOOKUP(BikeData[[#This Row],[Intents]],[1]!Table2[#Data],3,FALSE),"")</f>
        <v>0.3</v>
      </c>
      <c r="M522">
        <f>IFERROR(VLOOKUP(BikeData[[#This Row],[Intents]],[1]!Table2[#Data],4,FALSE),"")</f>
        <v>0.28360000000000002</v>
      </c>
      <c r="N522">
        <f>IFERROR(VLOOKUP(BikeData[[#This Row],[Intents]],[1]!Table2[#Data],5,FALSE),"")</f>
        <v>5</v>
      </c>
      <c r="O522">
        <f>IFERROR(VLOOKUP(BikeData[[#This Row],[Intents]],[1]!Table2[#Data],6,FALSE),"")</f>
        <v>45</v>
      </c>
      <c r="P522">
        <f>IFERROR(VLOOKUP(BikeData[[#This Row],[Intents]],[1]!Table2[#Data],7,FALSE),"")</f>
        <v>50</v>
      </c>
      <c r="Q522" s="2" t="str">
        <f>CHOOSE(BikeData[[#This Row],[Season]],"Spring","Summer","Fall","Winter")</f>
        <v>Spring</v>
      </c>
      <c r="R522" s="2" t="str">
        <f>CHOOSE(BikeData[[#This Row],[Weathersituation]],"Clear","Mist","Light Rain","Heavy Rain")</f>
        <v>Clear</v>
      </c>
      <c r="S522" s="2" t="str">
        <f>TEXT(BikeData[[#This Row],[Date]],"mmm")</f>
        <v>Jan</v>
      </c>
    </row>
    <row r="523" spans="1:19" x14ac:dyDescent="0.3">
      <c r="A523">
        <v>522</v>
      </c>
      <c r="B523" s="5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 s="6">
        <f>BikeData[[#This Row],[Temperature]]</f>
        <v>0.1</v>
      </c>
      <c r="L523">
        <f>IFERROR(VLOOKUP(BikeData[[#This Row],[Intents]],[1]!Table2[#Data],3,FALSE),"")</f>
        <v>0.36</v>
      </c>
      <c r="M523">
        <f>IFERROR(VLOOKUP(BikeData[[#This Row],[Intents]],[1]!Table2[#Data],4,FALSE),"")</f>
        <v>0.25369999999999998</v>
      </c>
      <c r="N523">
        <f>IFERROR(VLOOKUP(BikeData[[#This Row],[Intents]],[1]!Table2[#Data],5,FALSE),"")</f>
        <v>4</v>
      </c>
      <c r="O523">
        <f>IFERROR(VLOOKUP(BikeData[[#This Row],[Intents]],[1]!Table2[#Data],6,FALSE),"")</f>
        <v>31</v>
      </c>
      <c r="P523">
        <f>IFERROR(VLOOKUP(BikeData[[#This Row],[Intents]],[1]!Table2[#Data],7,FALSE),"")</f>
        <v>35</v>
      </c>
      <c r="Q523" s="2" t="str">
        <f>CHOOSE(BikeData[[#This Row],[Season]],"Spring","Summer","Fall","Winter")</f>
        <v>Spring</v>
      </c>
      <c r="R523" s="2" t="str">
        <f>CHOOSE(BikeData[[#This Row],[Weathersituation]],"Clear","Mist","Light Rain","Heavy Rain")</f>
        <v>Clear</v>
      </c>
      <c r="S523" s="2" t="str">
        <f>TEXT(BikeData[[#This Row],[Date]],"mmm")</f>
        <v>Jan</v>
      </c>
    </row>
    <row r="524" spans="1:19" x14ac:dyDescent="0.3">
      <c r="A524">
        <v>523</v>
      </c>
      <c r="B524" s="5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 s="6">
        <f>BikeData[[#This Row],[Temperature]]</f>
        <v>0.1</v>
      </c>
      <c r="L524">
        <f>IFERROR(VLOOKUP(BikeData[[#This Row],[Intents]],[1]!Table2[#Data],3,FALSE),"")</f>
        <v>0.36</v>
      </c>
      <c r="M524">
        <f>IFERROR(VLOOKUP(BikeData[[#This Row],[Intents]],[1]!Table2[#Data],4,FALSE),"")</f>
        <v>0.19400000000000001</v>
      </c>
      <c r="N524">
        <f>IFERROR(VLOOKUP(BikeData[[#This Row],[Intents]],[1]!Table2[#Data],5,FALSE),"")</f>
        <v>5</v>
      </c>
      <c r="O524">
        <f>IFERROR(VLOOKUP(BikeData[[#This Row],[Intents]],[1]!Table2[#Data],6,FALSE),"")</f>
        <v>20</v>
      </c>
      <c r="P524">
        <f>IFERROR(VLOOKUP(BikeData[[#This Row],[Intents]],[1]!Table2[#Data],7,FALSE),"")</f>
        <v>25</v>
      </c>
      <c r="Q524" s="2" t="str">
        <f>CHOOSE(BikeData[[#This Row],[Season]],"Spring","Summer","Fall","Winter")</f>
        <v>Spring</v>
      </c>
      <c r="R524" s="2" t="str">
        <f>CHOOSE(BikeData[[#This Row],[Weathersituation]],"Clear","Mist","Light Rain","Heavy Rain")</f>
        <v>Clear</v>
      </c>
      <c r="S524" s="2" t="str">
        <f>TEXT(BikeData[[#This Row],[Date]],"mmm")</f>
        <v>Jan</v>
      </c>
    </row>
    <row r="525" spans="1:19" x14ac:dyDescent="0.3">
      <c r="A525">
        <v>524</v>
      </c>
      <c r="B525" s="5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 s="6">
        <f>BikeData[[#This Row],[Temperature]]</f>
        <v>0.08</v>
      </c>
      <c r="L525">
        <f>IFERROR(VLOOKUP(BikeData[[#This Row],[Intents]],[1]!Table2[#Data],3,FALSE),"")</f>
        <v>0.38</v>
      </c>
      <c r="M525">
        <f>IFERROR(VLOOKUP(BikeData[[#This Row],[Intents]],[1]!Table2[#Data],4,FALSE),"")</f>
        <v>0.19400000000000001</v>
      </c>
      <c r="N525">
        <f>IFERROR(VLOOKUP(BikeData[[#This Row],[Intents]],[1]!Table2[#Data],5,FALSE),"")</f>
        <v>5</v>
      </c>
      <c r="O525">
        <f>IFERROR(VLOOKUP(BikeData[[#This Row],[Intents]],[1]!Table2[#Data],6,FALSE),"")</f>
        <v>23</v>
      </c>
      <c r="P525">
        <f>IFERROR(VLOOKUP(BikeData[[#This Row],[Intents]],[1]!Table2[#Data],7,FALSE),"")</f>
        <v>28</v>
      </c>
      <c r="Q525" s="2" t="str">
        <f>CHOOSE(BikeData[[#This Row],[Season]],"Spring","Summer","Fall","Winter")</f>
        <v>Spring</v>
      </c>
      <c r="R525" s="2" t="str">
        <f>CHOOSE(BikeData[[#This Row],[Weathersituation]],"Clear","Mist","Light Rain","Heavy Rain")</f>
        <v>Clear</v>
      </c>
      <c r="S525" s="2" t="str">
        <f>TEXT(BikeData[[#This Row],[Date]],"mmm")</f>
        <v>Jan</v>
      </c>
    </row>
    <row r="526" spans="1:19" x14ac:dyDescent="0.3">
      <c r="A526">
        <v>525</v>
      </c>
      <c r="B526" s="5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 s="6">
        <f>BikeData[[#This Row],[Temperature]]</f>
        <v>0.06</v>
      </c>
      <c r="L526">
        <f>IFERROR(VLOOKUP(BikeData[[#This Row],[Intents]],[1]!Table2[#Data],3,FALSE),"")</f>
        <v>0.41</v>
      </c>
      <c r="M526">
        <f>IFERROR(VLOOKUP(BikeData[[#This Row],[Intents]],[1]!Table2[#Data],4,FALSE),"")</f>
        <v>0.22389999999999999</v>
      </c>
      <c r="N526">
        <f>IFERROR(VLOOKUP(BikeData[[#This Row],[Intents]],[1]!Table2[#Data],5,FALSE),"")</f>
        <v>4</v>
      </c>
      <c r="O526">
        <f>IFERROR(VLOOKUP(BikeData[[#This Row],[Intents]],[1]!Table2[#Data],6,FALSE),"")</f>
        <v>17</v>
      </c>
      <c r="P526">
        <f>IFERROR(VLOOKUP(BikeData[[#This Row],[Intents]],[1]!Table2[#Data],7,FALSE),"")</f>
        <v>21</v>
      </c>
      <c r="Q526" s="2" t="str">
        <f>CHOOSE(BikeData[[#This Row],[Season]],"Spring","Summer","Fall","Winter")</f>
        <v>Spring</v>
      </c>
      <c r="R526" s="2" t="str">
        <f>CHOOSE(BikeData[[#This Row],[Weathersituation]],"Clear","Mist","Light Rain","Heavy Rain")</f>
        <v>Clear</v>
      </c>
      <c r="S526" s="2" t="str">
        <f>TEXT(BikeData[[#This Row],[Date]],"mmm")</f>
        <v>Jan</v>
      </c>
    </row>
    <row r="527" spans="1:19" x14ac:dyDescent="0.3">
      <c r="A527">
        <v>526</v>
      </c>
      <c r="B527" s="5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 s="6">
        <f>BikeData[[#This Row],[Temperature]]</f>
        <v>0.06</v>
      </c>
      <c r="L527">
        <f>IFERROR(VLOOKUP(BikeData[[#This Row],[Intents]],[1]!Table2[#Data],3,FALSE),"")</f>
        <v>0.41</v>
      </c>
      <c r="M527">
        <f>IFERROR(VLOOKUP(BikeData[[#This Row],[Intents]],[1]!Table2[#Data],4,FALSE),"")</f>
        <v>0.19400000000000001</v>
      </c>
      <c r="N527">
        <f>IFERROR(VLOOKUP(BikeData[[#This Row],[Intents]],[1]!Table2[#Data],5,FALSE),"")</f>
        <v>0</v>
      </c>
      <c r="O527">
        <f>IFERROR(VLOOKUP(BikeData[[#This Row],[Intents]],[1]!Table2[#Data],6,FALSE),"")</f>
        <v>7</v>
      </c>
      <c r="P527">
        <f>IFERROR(VLOOKUP(BikeData[[#This Row],[Intents]],[1]!Table2[#Data],7,FALSE),"")</f>
        <v>7</v>
      </c>
      <c r="Q527" s="2" t="str">
        <f>CHOOSE(BikeData[[#This Row],[Season]],"Spring","Summer","Fall","Winter")</f>
        <v>Spring</v>
      </c>
      <c r="R527" s="2" t="str">
        <f>CHOOSE(BikeData[[#This Row],[Weathersituation]],"Clear","Mist","Light Rain","Heavy Rain")</f>
        <v>Clear</v>
      </c>
      <c r="S527" s="2" t="str">
        <f>TEXT(BikeData[[#This Row],[Date]],"mmm")</f>
        <v>Jan</v>
      </c>
    </row>
    <row r="528" spans="1:19" x14ac:dyDescent="0.3">
      <c r="A528">
        <v>527</v>
      </c>
      <c r="B528" s="5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 s="6">
        <f>BikeData[[#This Row],[Temperature]]</f>
        <v>0.04</v>
      </c>
      <c r="L528">
        <f>IFERROR(VLOOKUP(BikeData[[#This Row],[Intents]],[1]!Table2[#Data],3,FALSE),"")</f>
        <v>0.45</v>
      </c>
      <c r="M528">
        <f>IFERROR(VLOOKUP(BikeData[[#This Row],[Intents]],[1]!Table2[#Data],4,FALSE),"")</f>
        <v>0.19400000000000001</v>
      </c>
      <c r="N528">
        <f>IFERROR(VLOOKUP(BikeData[[#This Row],[Intents]],[1]!Table2[#Data],5,FALSE),"")</f>
        <v>0</v>
      </c>
      <c r="O528">
        <f>IFERROR(VLOOKUP(BikeData[[#This Row],[Intents]],[1]!Table2[#Data],6,FALSE),"")</f>
        <v>1</v>
      </c>
      <c r="P528">
        <f>IFERROR(VLOOKUP(BikeData[[#This Row],[Intents]],[1]!Table2[#Data],7,FALSE),"")</f>
        <v>1</v>
      </c>
      <c r="Q528" s="2" t="str">
        <f>CHOOSE(BikeData[[#This Row],[Season]],"Spring","Summer","Fall","Winter")</f>
        <v>Spring</v>
      </c>
      <c r="R528" s="2" t="str">
        <f>CHOOSE(BikeData[[#This Row],[Weathersituation]],"Clear","Mist","Light Rain","Heavy Rain")</f>
        <v>Clear</v>
      </c>
      <c r="S528" s="2" t="str">
        <f>TEXT(BikeData[[#This Row],[Date]],"mmm")</f>
        <v>Jan</v>
      </c>
    </row>
    <row r="529" spans="1:19" x14ac:dyDescent="0.3">
      <c r="A529">
        <v>528</v>
      </c>
      <c r="B529" s="5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 s="6">
        <f>BikeData[[#This Row],[Temperature]]</f>
        <v>0.04</v>
      </c>
      <c r="L529">
        <f>IFERROR(VLOOKUP(BikeData[[#This Row],[Intents]],[1]!Table2[#Data],3,FALSE),"")</f>
        <v>0.45</v>
      </c>
      <c r="M529">
        <f>IFERROR(VLOOKUP(BikeData[[#This Row],[Intents]],[1]!Table2[#Data],4,FALSE),"")</f>
        <v>0.25369999999999998</v>
      </c>
      <c r="N529">
        <f>IFERROR(VLOOKUP(BikeData[[#This Row],[Intents]],[1]!Table2[#Data],5,FALSE),"")</f>
        <v>0</v>
      </c>
      <c r="O529">
        <f>IFERROR(VLOOKUP(BikeData[[#This Row],[Intents]],[1]!Table2[#Data],6,FALSE),"")</f>
        <v>1</v>
      </c>
      <c r="P529">
        <f>IFERROR(VLOOKUP(BikeData[[#This Row],[Intents]],[1]!Table2[#Data],7,FALSE),"")</f>
        <v>1</v>
      </c>
      <c r="Q529" s="2" t="str">
        <f>CHOOSE(BikeData[[#This Row],[Season]],"Spring","Summer","Fall","Winter")</f>
        <v>Spring</v>
      </c>
      <c r="R529" s="2" t="str">
        <f>CHOOSE(BikeData[[#This Row],[Weathersituation]],"Clear","Mist","Light Rain","Heavy Rain")</f>
        <v>Clear</v>
      </c>
      <c r="S529" s="2" t="str">
        <f>TEXT(BikeData[[#This Row],[Date]],"mmm")</f>
        <v>Jan</v>
      </c>
    </row>
    <row r="530" spans="1:19" x14ac:dyDescent="0.3">
      <c r="A530">
        <v>529</v>
      </c>
      <c r="B530" s="5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 s="6">
        <f>BikeData[[#This Row],[Temperature]]</f>
        <v>0.02</v>
      </c>
      <c r="L530">
        <f>IFERROR(VLOOKUP(BikeData[[#This Row],[Intents]],[1]!Table2[#Data],3,FALSE),"")</f>
        <v>0.48</v>
      </c>
      <c r="M530">
        <f>IFERROR(VLOOKUP(BikeData[[#This Row],[Intents]],[1]!Table2[#Data],4,FALSE),"")</f>
        <v>0.1343</v>
      </c>
      <c r="N530">
        <f>IFERROR(VLOOKUP(BikeData[[#This Row],[Intents]],[1]!Table2[#Data],5,FALSE),"")</f>
        <v>0</v>
      </c>
      <c r="O530">
        <f>IFERROR(VLOOKUP(BikeData[[#This Row],[Intents]],[1]!Table2[#Data],6,FALSE),"")</f>
        <v>1</v>
      </c>
      <c r="P530">
        <f>IFERROR(VLOOKUP(BikeData[[#This Row],[Intents]],[1]!Table2[#Data],7,FALSE),"")</f>
        <v>1</v>
      </c>
      <c r="Q530" s="2" t="str">
        <f>CHOOSE(BikeData[[#This Row],[Season]],"Spring","Summer","Fall","Winter")</f>
        <v>Spring</v>
      </c>
      <c r="R530" s="2" t="str">
        <f>CHOOSE(BikeData[[#This Row],[Weathersituation]],"Clear","Mist","Light Rain","Heavy Rain")</f>
        <v>Clear</v>
      </c>
      <c r="S530" s="2" t="str">
        <f>TEXT(BikeData[[#This Row],[Date]],"mmm")</f>
        <v>Jan</v>
      </c>
    </row>
    <row r="531" spans="1:19" x14ac:dyDescent="0.3">
      <c r="A531">
        <v>530</v>
      </c>
      <c r="B531" s="5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 s="6">
        <f>BikeData[[#This Row],[Temperature]]</f>
        <v>0.02</v>
      </c>
      <c r="L531">
        <f>IFERROR(VLOOKUP(BikeData[[#This Row],[Intents]],[1]!Table2[#Data],3,FALSE),"")</f>
        <v>0.48</v>
      </c>
      <c r="M531">
        <f>IFERROR(VLOOKUP(BikeData[[#This Row],[Intents]],[1]!Table2[#Data],4,FALSE),"")</f>
        <v>0.1343</v>
      </c>
      <c r="N531">
        <f>IFERROR(VLOOKUP(BikeData[[#This Row],[Intents]],[1]!Table2[#Data],5,FALSE),"")</f>
        <v>0</v>
      </c>
      <c r="O531">
        <f>IFERROR(VLOOKUP(BikeData[[#This Row],[Intents]],[1]!Table2[#Data],6,FALSE),"")</f>
        <v>5</v>
      </c>
      <c r="P531">
        <f>IFERROR(VLOOKUP(BikeData[[#This Row],[Intents]],[1]!Table2[#Data],7,FALSE),"")</f>
        <v>5</v>
      </c>
      <c r="Q531" s="2" t="str">
        <f>CHOOSE(BikeData[[#This Row],[Season]],"Spring","Summer","Fall","Winter")</f>
        <v>Spring</v>
      </c>
      <c r="R531" s="2" t="str">
        <f>CHOOSE(BikeData[[#This Row],[Weathersituation]],"Clear","Mist","Light Rain","Heavy Rain")</f>
        <v>Clear</v>
      </c>
      <c r="S531" s="2" t="str">
        <f>TEXT(BikeData[[#This Row],[Date]],"mmm")</f>
        <v>Jan</v>
      </c>
    </row>
    <row r="532" spans="1:19" x14ac:dyDescent="0.3">
      <c r="A532">
        <v>531</v>
      </c>
      <c r="B532" s="5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 s="6">
        <f>BikeData[[#This Row],[Temperature]]</f>
        <v>0.02</v>
      </c>
      <c r="L532">
        <f>IFERROR(VLOOKUP(BikeData[[#This Row],[Intents]],[1]!Table2[#Data],3,FALSE),"")</f>
        <v>0.48</v>
      </c>
      <c r="M532">
        <f>IFERROR(VLOOKUP(BikeData[[#This Row],[Intents]],[1]!Table2[#Data],4,FALSE),"")</f>
        <v>8.9599999999999999E-2</v>
      </c>
      <c r="N532">
        <f>IFERROR(VLOOKUP(BikeData[[#This Row],[Intents]],[1]!Table2[#Data],5,FALSE),"")</f>
        <v>0</v>
      </c>
      <c r="O532">
        <f>IFERROR(VLOOKUP(BikeData[[#This Row],[Intents]],[1]!Table2[#Data],6,FALSE),"")</f>
        <v>15</v>
      </c>
      <c r="P532">
        <f>IFERROR(VLOOKUP(BikeData[[#This Row],[Intents]],[1]!Table2[#Data],7,FALSE),"")</f>
        <v>15</v>
      </c>
      <c r="Q532" s="2" t="str">
        <f>CHOOSE(BikeData[[#This Row],[Season]],"Spring","Summer","Fall","Winter")</f>
        <v>Spring</v>
      </c>
      <c r="R532" s="2" t="str">
        <f>CHOOSE(BikeData[[#This Row],[Weathersituation]],"Clear","Mist","Light Rain","Heavy Rain")</f>
        <v>Clear</v>
      </c>
      <c r="S532" s="2" t="str">
        <f>TEXT(BikeData[[#This Row],[Date]],"mmm")</f>
        <v>Jan</v>
      </c>
    </row>
    <row r="533" spans="1:19" x14ac:dyDescent="0.3">
      <c r="A533">
        <v>532</v>
      </c>
      <c r="B533" s="5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 s="6">
        <f>BikeData[[#This Row],[Temperature]]</f>
        <v>0.02</v>
      </c>
      <c r="L533">
        <f>IFERROR(VLOOKUP(BikeData[[#This Row],[Intents]],[1]!Table2[#Data],3,FALSE),"")</f>
        <v>0.48</v>
      </c>
      <c r="M533">
        <f>IFERROR(VLOOKUP(BikeData[[#This Row],[Intents]],[1]!Table2[#Data],4,FALSE),"")</f>
        <v>0</v>
      </c>
      <c r="N533">
        <f>IFERROR(VLOOKUP(BikeData[[#This Row],[Intents]],[1]!Table2[#Data],5,FALSE),"")</f>
        <v>5</v>
      </c>
      <c r="O533">
        <f>IFERROR(VLOOKUP(BikeData[[#This Row],[Intents]],[1]!Table2[#Data],6,FALSE),"")</f>
        <v>79</v>
      </c>
      <c r="P533">
        <f>IFERROR(VLOOKUP(BikeData[[#This Row],[Intents]],[1]!Table2[#Data],7,FALSE),"")</f>
        <v>84</v>
      </c>
      <c r="Q533" s="2" t="str">
        <f>CHOOSE(BikeData[[#This Row],[Season]],"Spring","Summer","Fall","Winter")</f>
        <v>Spring</v>
      </c>
      <c r="R533" s="2" t="str">
        <f>CHOOSE(BikeData[[#This Row],[Weathersituation]],"Clear","Mist","Light Rain","Heavy Rain")</f>
        <v>Clear</v>
      </c>
      <c r="S533" s="2" t="str">
        <f>TEXT(BikeData[[#This Row],[Date]],"mmm")</f>
        <v>Jan</v>
      </c>
    </row>
    <row r="534" spans="1:19" x14ac:dyDescent="0.3">
      <c r="A534">
        <v>533</v>
      </c>
      <c r="B534" s="5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 s="6">
        <f>BikeData[[#This Row],[Temperature]]</f>
        <v>0.04</v>
      </c>
      <c r="L534">
        <f>IFERROR(VLOOKUP(BikeData[[#This Row],[Intents]],[1]!Table2[#Data],3,FALSE),"")</f>
        <v>0.49</v>
      </c>
      <c r="M534">
        <f>IFERROR(VLOOKUP(BikeData[[#This Row],[Intents]],[1]!Table2[#Data],4,FALSE),"")</f>
        <v>0</v>
      </c>
      <c r="N534">
        <f>IFERROR(VLOOKUP(BikeData[[#This Row],[Intents]],[1]!Table2[#Data],5,FALSE),"")</f>
        <v>6</v>
      </c>
      <c r="O534">
        <f>IFERROR(VLOOKUP(BikeData[[#This Row],[Intents]],[1]!Table2[#Data],6,FALSE),"")</f>
        <v>171</v>
      </c>
      <c r="P534">
        <f>IFERROR(VLOOKUP(BikeData[[#This Row],[Intents]],[1]!Table2[#Data],7,FALSE),"")</f>
        <v>177</v>
      </c>
      <c r="Q534" s="2" t="str">
        <f>CHOOSE(BikeData[[#This Row],[Season]],"Spring","Summer","Fall","Winter")</f>
        <v>Spring</v>
      </c>
      <c r="R534" s="2" t="str">
        <f>CHOOSE(BikeData[[#This Row],[Weathersituation]],"Clear","Mist","Light Rain","Heavy Rain")</f>
        <v>Clear</v>
      </c>
      <c r="S534" s="2" t="str">
        <f>TEXT(BikeData[[#This Row],[Date]],"mmm")</f>
        <v>Jan</v>
      </c>
    </row>
    <row r="535" spans="1:19" x14ac:dyDescent="0.3">
      <c r="A535">
        <v>534</v>
      </c>
      <c r="B535" s="5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 s="6">
        <f>BikeData[[#This Row],[Temperature]]</f>
        <v>0.06</v>
      </c>
      <c r="L535">
        <f>IFERROR(VLOOKUP(BikeData[[#This Row],[Intents]],[1]!Table2[#Data],3,FALSE),"")</f>
        <v>0.41</v>
      </c>
      <c r="M535">
        <f>IFERROR(VLOOKUP(BikeData[[#This Row],[Intents]],[1]!Table2[#Data],4,FALSE),"")</f>
        <v>0</v>
      </c>
      <c r="N535">
        <f>IFERROR(VLOOKUP(BikeData[[#This Row],[Intents]],[1]!Table2[#Data],5,FALSE),"")</f>
        <v>4</v>
      </c>
      <c r="O535">
        <f>IFERROR(VLOOKUP(BikeData[[#This Row],[Intents]],[1]!Table2[#Data],6,FALSE),"")</f>
        <v>98</v>
      </c>
      <c r="P535">
        <f>IFERROR(VLOOKUP(BikeData[[#This Row],[Intents]],[1]!Table2[#Data],7,FALSE),"")</f>
        <v>102</v>
      </c>
      <c r="Q535" s="2" t="str">
        <f>CHOOSE(BikeData[[#This Row],[Season]],"Spring","Summer","Fall","Winter")</f>
        <v>Spring</v>
      </c>
      <c r="R535" s="2" t="str">
        <f>CHOOSE(BikeData[[#This Row],[Weathersituation]],"Clear","Mist","Light Rain","Heavy Rain")</f>
        <v>Clear</v>
      </c>
      <c r="S535" s="2" t="str">
        <f>TEXT(BikeData[[#This Row],[Date]],"mmm")</f>
        <v>Jan</v>
      </c>
    </row>
    <row r="536" spans="1:19" x14ac:dyDescent="0.3">
      <c r="A536">
        <v>535</v>
      </c>
      <c r="B536" s="5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 s="6">
        <f>BikeData[[#This Row],[Temperature]]</f>
        <v>0.1</v>
      </c>
      <c r="L536">
        <f>IFERROR(VLOOKUP(BikeData[[#This Row],[Intents]],[1]!Table2[#Data],3,FALSE),"")</f>
        <v>0.42</v>
      </c>
      <c r="M536">
        <f>IFERROR(VLOOKUP(BikeData[[#This Row],[Intents]],[1]!Table2[#Data],4,FALSE),"")</f>
        <v>0</v>
      </c>
      <c r="N536">
        <f>IFERROR(VLOOKUP(BikeData[[#This Row],[Intents]],[1]!Table2[#Data],5,FALSE),"")</f>
        <v>6</v>
      </c>
      <c r="O536">
        <f>IFERROR(VLOOKUP(BikeData[[#This Row],[Intents]],[1]!Table2[#Data],6,FALSE),"")</f>
        <v>34</v>
      </c>
      <c r="P536">
        <f>IFERROR(VLOOKUP(BikeData[[#This Row],[Intents]],[1]!Table2[#Data],7,FALSE),"")</f>
        <v>40</v>
      </c>
      <c r="Q536" s="2" t="str">
        <f>CHOOSE(BikeData[[#This Row],[Season]],"Spring","Summer","Fall","Winter")</f>
        <v>Spring</v>
      </c>
      <c r="R536" s="2" t="str">
        <f>CHOOSE(BikeData[[#This Row],[Weathersituation]],"Clear","Mist","Light Rain","Heavy Rain")</f>
        <v>Clear</v>
      </c>
      <c r="S536" s="2" t="str">
        <f>TEXT(BikeData[[#This Row],[Date]],"mmm")</f>
        <v>Jan</v>
      </c>
    </row>
    <row r="537" spans="1:19" x14ac:dyDescent="0.3">
      <c r="A537">
        <v>536</v>
      </c>
      <c r="B537" s="5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 s="6">
        <f>BikeData[[#This Row],[Temperature]]</f>
        <v>0.1</v>
      </c>
      <c r="L537">
        <f>IFERROR(VLOOKUP(BikeData[[#This Row],[Intents]],[1]!Table2[#Data],3,FALSE),"")</f>
        <v>0.46</v>
      </c>
      <c r="M537">
        <f>IFERROR(VLOOKUP(BikeData[[#This Row],[Intents]],[1]!Table2[#Data],4,FALSE),"")</f>
        <v>0.1343</v>
      </c>
      <c r="N537">
        <f>IFERROR(VLOOKUP(BikeData[[#This Row],[Intents]],[1]!Table2[#Data],5,FALSE),"")</f>
        <v>3</v>
      </c>
      <c r="O537">
        <f>IFERROR(VLOOKUP(BikeData[[#This Row],[Intents]],[1]!Table2[#Data],6,FALSE),"")</f>
        <v>43</v>
      </c>
      <c r="P537">
        <f>IFERROR(VLOOKUP(BikeData[[#This Row],[Intents]],[1]!Table2[#Data],7,FALSE),"")</f>
        <v>46</v>
      </c>
      <c r="Q537" s="2" t="str">
        <f>CHOOSE(BikeData[[#This Row],[Season]],"Spring","Summer","Fall","Winter")</f>
        <v>Spring</v>
      </c>
      <c r="R537" s="2" t="str">
        <f>CHOOSE(BikeData[[#This Row],[Weathersituation]],"Clear","Mist","Light Rain","Heavy Rain")</f>
        <v>Clear</v>
      </c>
      <c r="S537" s="2" t="str">
        <f>TEXT(BikeData[[#This Row],[Date]],"mmm")</f>
        <v>Jan</v>
      </c>
    </row>
    <row r="538" spans="1:19" x14ac:dyDescent="0.3">
      <c r="A538">
        <v>537</v>
      </c>
      <c r="B538" s="5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 s="6">
        <f>BikeData[[#This Row],[Temperature]]</f>
        <v>0.12</v>
      </c>
      <c r="L538">
        <f>IFERROR(VLOOKUP(BikeData[[#This Row],[Intents]],[1]!Table2[#Data],3,FALSE),"")</f>
        <v>0.42</v>
      </c>
      <c r="M538">
        <f>IFERROR(VLOOKUP(BikeData[[#This Row],[Intents]],[1]!Table2[#Data],4,FALSE),"")</f>
        <v>0.19400000000000001</v>
      </c>
      <c r="N538">
        <f>IFERROR(VLOOKUP(BikeData[[#This Row],[Intents]],[1]!Table2[#Data],5,FALSE),"")</f>
        <v>11</v>
      </c>
      <c r="O538">
        <f>IFERROR(VLOOKUP(BikeData[[#This Row],[Intents]],[1]!Table2[#Data],6,FALSE),"")</f>
        <v>52</v>
      </c>
      <c r="P538">
        <f>IFERROR(VLOOKUP(BikeData[[#This Row],[Intents]],[1]!Table2[#Data],7,FALSE),"")</f>
        <v>63</v>
      </c>
      <c r="Q538" s="2" t="str">
        <f>CHOOSE(BikeData[[#This Row],[Season]],"Spring","Summer","Fall","Winter")</f>
        <v>Spring</v>
      </c>
      <c r="R538" s="2" t="str">
        <f>CHOOSE(BikeData[[#This Row],[Weathersituation]],"Clear","Mist","Light Rain","Heavy Rain")</f>
        <v>Mist</v>
      </c>
      <c r="S538" s="2" t="str">
        <f>TEXT(BikeData[[#This Row],[Date]],"mmm")</f>
        <v>Jan</v>
      </c>
    </row>
    <row r="539" spans="1:19" x14ac:dyDescent="0.3">
      <c r="A539">
        <v>538</v>
      </c>
      <c r="B539" s="5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 s="6">
        <f>BikeData[[#This Row],[Temperature]]</f>
        <v>0.14000000000000001</v>
      </c>
      <c r="L539">
        <f>IFERROR(VLOOKUP(BikeData[[#This Row],[Intents]],[1]!Table2[#Data],3,FALSE),"")</f>
        <v>0.43</v>
      </c>
      <c r="M539">
        <f>IFERROR(VLOOKUP(BikeData[[#This Row],[Intents]],[1]!Table2[#Data],4,FALSE),"")</f>
        <v>0.22389999999999999</v>
      </c>
      <c r="N539">
        <f>IFERROR(VLOOKUP(BikeData[[#This Row],[Intents]],[1]!Table2[#Data],5,FALSE),"")</f>
        <v>6</v>
      </c>
      <c r="O539">
        <f>IFERROR(VLOOKUP(BikeData[[#This Row],[Intents]],[1]!Table2[#Data],6,FALSE),"")</f>
        <v>54</v>
      </c>
      <c r="P539">
        <f>IFERROR(VLOOKUP(BikeData[[#This Row],[Intents]],[1]!Table2[#Data],7,FALSE),"")</f>
        <v>60</v>
      </c>
      <c r="Q539" s="2" t="str">
        <f>CHOOSE(BikeData[[#This Row],[Season]],"Spring","Summer","Fall","Winter")</f>
        <v>Spring</v>
      </c>
      <c r="R539" s="2" t="str">
        <f>CHOOSE(BikeData[[#This Row],[Weathersituation]],"Clear","Mist","Light Rain","Heavy Rain")</f>
        <v>Mist</v>
      </c>
      <c r="S539" s="2" t="str">
        <f>TEXT(BikeData[[#This Row],[Date]],"mmm")</f>
        <v>Jan</v>
      </c>
    </row>
    <row r="540" spans="1:19" x14ac:dyDescent="0.3">
      <c r="A540">
        <v>539</v>
      </c>
      <c r="B540" s="5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 s="6">
        <f>BikeData[[#This Row],[Temperature]]</f>
        <v>0.14000000000000001</v>
      </c>
      <c r="L540">
        <f>IFERROR(VLOOKUP(BikeData[[#This Row],[Intents]],[1]!Table2[#Data],3,FALSE),"")</f>
        <v>0.46</v>
      </c>
      <c r="M540">
        <f>IFERROR(VLOOKUP(BikeData[[#This Row],[Intents]],[1]!Table2[#Data],4,FALSE),"")</f>
        <v>0.22389999999999999</v>
      </c>
      <c r="N540">
        <f>IFERROR(VLOOKUP(BikeData[[#This Row],[Intents]],[1]!Table2[#Data],5,FALSE),"")</f>
        <v>2</v>
      </c>
      <c r="O540">
        <f>IFERROR(VLOOKUP(BikeData[[#This Row],[Intents]],[1]!Table2[#Data],6,FALSE),"")</f>
        <v>43</v>
      </c>
      <c r="P540">
        <f>IFERROR(VLOOKUP(BikeData[[#This Row],[Intents]],[1]!Table2[#Data],7,FALSE),"")</f>
        <v>45</v>
      </c>
      <c r="Q540" s="2" t="str">
        <f>CHOOSE(BikeData[[#This Row],[Season]],"Spring","Summer","Fall","Winter")</f>
        <v>Spring</v>
      </c>
      <c r="R540" s="2" t="str">
        <f>CHOOSE(BikeData[[#This Row],[Weathersituation]],"Clear","Mist","Light Rain","Heavy Rain")</f>
        <v>Mist</v>
      </c>
      <c r="S540" s="2" t="str">
        <f>TEXT(BikeData[[#This Row],[Date]],"mmm")</f>
        <v>Jan</v>
      </c>
    </row>
    <row r="541" spans="1:19" x14ac:dyDescent="0.3">
      <c r="A541">
        <v>540</v>
      </c>
      <c r="B541" s="5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 s="6">
        <f>BikeData[[#This Row],[Temperature]]</f>
        <v>0.16</v>
      </c>
      <c r="L541">
        <f>IFERROR(VLOOKUP(BikeData[[#This Row],[Intents]],[1]!Table2[#Data],3,FALSE),"")</f>
        <v>0.4</v>
      </c>
      <c r="M541">
        <f>IFERROR(VLOOKUP(BikeData[[#This Row],[Intents]],[1]!Table2[#Data],4,FALSE),"")</f>
        <v>0.16420000000000001</v>
      </c>
      <c r="N541">
        <f>IFERROR(VLOOKUP(BikeData[[#This Row],[Intents]],[1]!Table2[#Data],5,FALSE),"")</f>
        <v>7</v>
      </c>
      <c r="O541">
        <f>IFERROR(VLOOKUP(BikeData[[#This Row],[Intents]],[1]!Table2[#Data],6,FALSE),"")</f>
        <v>50</v>
      </c>
      <c r="P541">
        <f>IFERROR(VLOOKUP(BikeData[[#This Row],[Intents]],[1]!Table2[#Data],7,FALSE),"")</f>
        <v>57</v>
      </c>
      <c r="Q541" s="2" t="str">
        <f>CHOOSE(BikeData[[#This Row],[Season]],"Spring","Summer","Fall","Winter")</f>
        <v>Spring</v>
      </c>
      <c r="R541" s="2" t="str">
        <f>CHOOSE(BikeData[[#This Row],[Weathersituation]],"Clear","Mist","Light Rain","Heavy Rain")</f>
        <v>Clear</v>
      </c>
      <c r="S541" s="2" t="str">
        <f>TEXT(BikeData[[#This Row],[Date]],"mmm")</f>
        <v>Jan</v>
      </c>
    </row>
    <row r="542" spans="1:19" x14ac:dyDescent="0.3">
      <c r="A542">
        <v>541</v>
      </c>
      <c r="B542" s="5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 s="6">
        <f>BikeData[[#This Row],[Temperature]]</f>
        <v>0.16</v>
      </c>
      <c r="L542">
        <f>IFERROR(VLOOKUP(BikeData[[#This Row],[Intents]],[1]!Table2[#Data],3,FALSE),"")</f>
        <v>0.47</v>
      </c>
      <c r="M542">
        <f>IFERROR(VLOOKUP(BikeData[[#This Row],[Intents]],[1]!Table2[#Data],4,FALSE),"")</f>
        <v>0.25369999999999998</v>
      </c>
      <c r="N542">
        <f>IFERROR(VLOOKUP(BikeData[[#This Row],[Intents]],[1]!Table2[#Data],5,FALSE),"")</f>
        <v>4</v>
      </c>
      <c r="O542">
        <f>IFERROR(VLOOKUP(BikeData[[#This Row],[Intents]],[1]!Table2[#Data],6,FALSE),"")</f>
        <v>66</v>
      </c>
      <c r="P542">
        <f>IFERROR(VLOOKUP(BikeData[[#This Row],[Intents]],[1]!Table2[#Data],7,FALSE),"")</f>
        <v>70</v>
      </c>
      <c r="Q542" s="2" t="str">
        <f>CHOOSE(BikeData[[#This Row],[Season]],"Spring","Summer","Fall","Winter")</f>
        <v>Spring</v>
      </c>
      <c r="R542" s="2" t="str">
        <f>CHOOSE(BikeData[[#This Row],[Weathersituation]],"Clear","Mist","Light Rain","Heavy Rain")</f>
        <v>Clear</v>
      </c>
      <c r="S542" s="2" t="str">
        <f>TEXT(BikeData[[#This Row],[Date]],"mmm")</f>
        <v>Jan</v>
      </c>
    </row>
    <row r="543" spans="1:19" x14ac:dyDescent="0.3">
      <c r="A543">
        <v>542</v>
      </c>
      <c r="B543" s="5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 s="6">
        <f>BikeData[[#This Row],[Temperature]]</f>
        <v>0.14000000000000001</v>
      </c>
      <c r="L543">
        <f>IFERROR(VLOOKUP(BikeData[[#This Row],[Intents]],[1]!Table2[#Data],3,FALSE),"")</f>
        <v>0.5</v>
      </c>
      <c r="M543">
        <f>IFERROR(VLOOKUP(BikeData[[#This Row],[Intents]],[1]!Table2[#Data],4,FALSE),"")</f>
        <v>0.25369999999999998</v>
      </c>
      <c r="N543">
        <f>IFERROR(VLOOKUP(BikeData[[#This Row],[Intents]],[1]!Table2[#Data],5,FALSE),"")</f>
        <v>6</v>
      </c>
      <c r="O543">
        <f>IFERROR(VLOOKUP(BikeData[[#This Row],[Intents]],[1]!Table2[#Data],6,FALSE),"")</f>
        <v>178</v>
      </c>
      <c r="P543">
        <f>IFERROR(VLOOKUP(BikeData[[#This Row],[Intents]],[1]!Table2[#Data],7,FALSE),"")</f>
        <v>184</v>
      </c>
      <c r="Q543" s="2" t="str">
        <f>CHOOSE(BikeData[[#This Row],[Season]],"Spring","Summer","Fall","Winter")</f>
        <v>Spring</v>
      </c>
      <c r="R543" s="2" t="str">
        <f>CHOOSE(BikeData[[#This Row],[Weathersituation]],"Clear","Mist","Light Rain","Heavy Rain")</f>
        <v>Clear</v>
      </c>
      <c r="S543" s="2" t="str">
        <f>TEXT(BikeData[[#This Row],[Date]],"mmm")</f>
        <v>Jan</v>
      </c>
    </row>
    <row r="544" spans="1:19" x14ac:dyDescent="0.3">
      <c r="A544">
        <v>543</v>
      </c>
      <c r="B544" s="5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 s="6">
        <f>BikeData[[#This Row],[Temperature]]</f>
        <v>0.14000000000000001</v>
      </c>
      <c r="L544">
        <f>IFERROR(VLOOKUP(BikeData[[#This Row],[Intents]],[1]!Table2[#Data],3,FALSE),"")</f>
        <v>0.59</v>
      </c>
      <c r="M544">
        <f>IFERROR(VLOOKUP(BikeData[[#This Row],[Intents]],[1]!Table2[#Data],4,FALSE),"")</f>
        <v>0.19400000000000001</v>
      </c>
      <c r="N544">
        <f>IFERROR(VLOOKUP(BikeData[[#This Row],[Intents]],[1]!Table2[#Data],5,FALSE),"")</f>
        <v>8</v>
      </c>
      <c r="O544">
        <f>IFERROR(VLOOKUP(BikeData[[#This Row],[Intents]],[1]!Table2[#Data],6,FALSE),"")</f>
        <v>145</v>
      </c>
      <c r="P544">
        <f>IFERROR(VLOOKUP(BikeData[[#This Row],[Intents]],[1]!Table2[#Data],7,FALSE),"")</f>
        <v>153</v>
      </c>
      <c r="Q544" s="2" t="str">
        <f>CHOOSE(BikeData[[#This Row],[Season]],"Spring","Summer","Fall","Winter")</f>
        <v>Spring</v>
      </c>
      <c r="R544" s="2" t="str">
        <f>CHOOSE(BikeData[[#This Row],[Weathersituation]],"Clear","Mist","Light Rain","Heavy Rain")</f>
        <v>Clear</v>
      </c>
      <c r="S544" s="2" t="str">
        <f>TEXT(BikeData[[#This Row],[Date]],"mmm")</f>
        <v>Jan</v>
      </c>
    </row>
    <row r="545" spans="1:19" x14ac:dyDescent="0.3">
      <c r="A545">
        <v>544</v>
      </c>
      <c r="B545" s="5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 s="6">
        <f>BikeData[[#This Row],[Temperature]]</f>
        <v>0.14000000000000001</v>
      </c>
      <c r="L545">
        <f>IFERROR(VLOOKUP(BikeData[[#This Row],[Intents]],[1]!Table2[#Data],3,FALSE),"")</f>
        <v>0.54</v>
      </c>
      <c r="M545">
        <f>IFERROR(VLOOKUP(BikeData[[#This Row],[Intents]],[1]!Table2[#Data],4,FALSE),"")</f>
        <v>0.16420000000000001</v>
      </c>
      <c r="N545">
        <f>IFERROR(VLOOKUP(BikeData[[#This Row],[Intents]],[1]!Table2[#Data],5,FALSE),"")</f>
        <v>5</v>
      </c>
      <c r="O545">
        <f>IFERROR(VLOOKUP(BikeData[[#This Row],[Intents]],[1]!Table2[#Data],6,FALSE),"")</f>
        <v>101</v>
      </c>
      <c r="P545">
        <f>IFERROR(VLOOKUP(BikeData[[#This Row],[Intents]],[1]!Table2[#Data],7,FALSE),"")</f>
        <v>106</v>
      </c>
      <c r="Q545" s="2" t="str">
        <f>CHOOSE(BikeData[[#This Row],[Season]],"Spring","Summer","Fall","Winter")</f>
        <v>Spring</v>
      </c>
      <c r="R545" s="2" t="str">
        <f>CHOOSE(BikeData[[#This Row],[Weathersituation]],"Clear","Mist","Light Rain","Heavy Rain")</f>
        <v>Clear</v>
      </c>
      <c r="S545" s="2" t="str">
        <f>TEXT(BikeData[[#This Row],[Date]],"mmm")</f>
        <v>Jan</v>
      </c>
    </row>
    <row r="546" spans="1:19" x14ac:dyDescent="0.3">
      <c r="A546">
        <v>545</v>
      </c>
      <c r="B546" s="5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 s="6">
        <f>BikeData[[#This Row],[Temperature]]</f>
        <v>0.14000000000000001</v>
      </c>
      <c r="L546">
        <f>IFERROR(VLOOKUP(BikeData[[#This Row],[Intents]],[1]!Table2[#Data],3,FALSE),"")</f>
        <v>0.59</v>
      </c>
      <c r="M546">
        <f>IFERROR(VLOOKUP(BikeData[[#This Row],[Intents]],[1]!Table2[#Data],4,FALSE),"")</f>
        <v>0.19400000000000001</v>
      </c>
      <c r="N546">
        <f>IFERROR(VLOOKUP(BikeData[[#This Row],[Intents]],[1]!Table2[#Data],5,FALSE),"")</f>
        <v>1</v>
      </c>
      <c r="O546">
        <f>IFERROR(VLOOKUP(BikeData[[#This Row],[Intents]],[1]!Table2[#Data],6,FALSE),"")</f>
        <v>80</v>
      </c>
      <c r="P546">
        <f>IFERROR(VLOOKUP(BikeData[[#This Row],[Intents]],[1]!Table2[#Data],7,FALSE),"")</f>
        <v>81</v>
      </c>
      <c r="Q546" s="2" t="str">
        <f>CHOOSE(BikeData[[#This Row],[Season]],"Spring","Summer","Fall","Winter")</f>
        <v>Spring</v>
      </c>
      <c r="R546" s="2" t="str">
        <f>CHOOSE(BikeData[[#This Row],[Weathersituation]],"Clear","Mist","Light Rain","Heavy Rain")</f>
        <v>Clear</v>
      </c>
      <c r="S546" s="2" t="str">
        <f>TEXT(BikeData[[#This Row],[Date]],"mmm")</f>
        <v>Jan</v>
      </c>
    </row>
    <row r="547" spans="1:19" x14ac:dyDescent="0.3">
      <c r="A547">
        <v>546</v>
      </c>
      <c r="B547" s="5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 s="6">
        <f>BikeData[[#This Row],[Temperature]]</f>
        <v>0.14000000000000001</v>
      </c>
      <c r="L547">
        <f>IFERROR(VLOOKUP(BikeData[[#This Row],[Intents]],[1]!Table2[#Data],3,FALSE),"")</f>
        <v>0.63</v>
      </c>
      <c r="M547">
        <f>IFERROR(VLOOKUP(BikeData[[#This Row],[Intents]],[1]!Table2[#Data],4,FALSE),"")</f>
        <v>0.16420000000000001</v>
      </c>
      <c r="N547">
        <f>IFERROR(VLOOKUP(BikeData[[#This Row],[Intents]],[1]!Table2[#Data],5,FALSE),"")</f>
        <v>6</v>
      </c>
      <c r="O547">
        <f>IFERROR(VLOOKUP(BikeData[[#This Row],[Intents]],[1]!Table2[#Data],6,FALSE),"")</f>
        <v>53</v>
      </c>
      <c r="P547">
        <f>IFERROR(VLOOKUP(BikeData[[#This Row],[Intents]],[1]!Table2[#Data],7,FALSE),"")</f>
        <v>59</v>
      </c>
      <c r="Q547" s="2" t="str">
        <f>CHOOSE(BikeData[[#This Row],[Season]],"Spring","Summer","Fall","Winter")</f>
        <v>Spring</v>
      </c>
      <c r="R547" s="2" t="str">
        <f>CHOOSE(BikeData[[#This Row],[Weathersituation]],"Clear","Mist","Light Rain","Heavy Rain")</f>
        <v>Clear</v>
      </c>
      <c r="S547" s="2" t="str">
        <f>TEXT(BikeData[[#This Row],[Date]],"mmm")</f>
        <v>Jan</v>
      </c>
    </row>
    <row r="548" spans="1:19" x14ac:dyDescent="0.3">
      <c r="A548">
        <v>547</v>
      </c>
      <c r="B548" s="5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 s="6">
        <f>BikeData[[#This Row],[Temperature]]</f>
        <v>0.14000000000000001</v>
      </c>
      <c r="L548">
        <f>IFERROR(VLOOKUP(BikeData[[#This Row],[Intents]],[1]!Table2[#Data],3,FALSE),"")</f>
        <v>0.63</v>
      </c>
      <c r="M548">
        <f>IFERROR(VLOOKUP(BikeData[[#This Row],[Intents]],[1]!Table2[#Data],4,FALSE),"")</f>
        <v>0.22389999999999999</v>
      </c>
      <c r="N548">
        <f>IFERROR(VLOOKUP(BikeData[[#This Row],[Intents]],[1]!Table2[#Data],5,FALSE),"")</f>
        <v>3</v>
      </c>
      <c r="O548">
        <f>IFERROR(VLOOKUP(BikeData[[#This Row],[Intents]],[1]!Table2[#Data],6,FALSE),"")</f>
        <v>32</v>
      </c>
      <c r="P548">
        <f>IFERROR(VLOOKUP(BikeData[[#This Row],[Intents]],[1]!Table2[#Data],7,FALSE),"")</f>
        <v>35</v>
      </c>
      <c r="Q548" s="2" t="str">
        <f>CHOOSE(BikeData[[#This Row],[Season]],"Spring","Summer","Fall","Winter")</f>
        <v>Spring</v>
      </c>
      <c r="R548" s="2" t="str">
        <f>CHOOSE(BikeData[[#This Row],[Weathersituation]],"Clear","Mist","Light Rain","Heavy Rain")</f>
        <v>Mist</v>
      </c>
      <c r="S548" s="2" t="str">
        <f>TEXT(BikeData[[#This Row],[Date]],"mmm")</f>
        <v>Jan</v>
      </c>
    </row>
    <row r="549" spans="1:19" x14ac:dyDescent="0.3">
      <c r="A549">
        <v>548</v>
      </c>
      <c r="B549" s="5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 s="6">
        <f>BikeData[[#This Row],[Temperature]]</f>
        <v>0.16</v>
      </c>
      <c r="L549">
        <f>IFERROR(VLOOKUP(BikeData[[#This Row],[Intents]],[1]!Table2[#Data],3,FALSE),"")</f>
        <v>0.64</v>
      </c>
      <c r="M549">
        <f>IFERROR(VLOOKUP(BikeData[[#This Row],[Intents]],[1]!Table2[#Data],4,FALSE),"")</f>
        <v>0.25369999999999998</v>
      </c>
      <c r="N549">
        <f>IFERROR(VLOOKUP(BikeData[[#This Row],[Intents]],[1]!Table2[#Data],5,FALSE),"")</f>
        <v>3</v>
      </c>
      <c r="O549">
        <f>IFERROR(VLOOKUP(BikeData[[#This Row],[Intents]],[1]!Table2[#Data],6,FALSE),"")</f>
        <v>21</v>
      </c>
      <c r="P549">
        <f>IFERROR(VLOOKUP(BikeData[[#This Row],[Intents]],[1]!Table2[#Data],7,FALSE),"")</f>
        <v>24</v>
      </c>
      <c r="Q549" s="2" t="str">
        <f>CHOOSE(BikeData[[#This Row],[Season]],"Spring","Summer","Fall","Winter")</f>
        <v>Spring</v>
      </c>
      <c r="R549" s="2" t="str">
        <f>CHOOSE(BikeData[[#This Row],[Weathersituation]],"Clear","Mist","Light Rain","Heavy Rain")</f>
        <v>Mist</v>
      </c>
      <c r="S549" s="2" t="str">
        <f>TEXT(BikeData[[#This Row],[Date]],"mmm")</f>
        <v>Jan</v>
      </c>
    </row>
    <row r="550" spans="1:19" x14ac:dyDescent="0.3">
      <c r="A550">
        <v>549</v>
      </c>
      <c r="B550" s="5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 s="6">
        <f>BikeData[[#This Row],[Temperature]]</f>
        <v>0.16</v>
      </c>
      <c r="L550">
        <f>IFERROR(VLOOKUP(BikeData[[#This Row],[Intents]],[1]!Table2[#Data],3,FALSE),"")</f>
        <v>0.69</v>
      </c>
      <c r="M550">
        <f>IFERROR(VLOOKUP(BikeData[[#This Row],[Intents]],[1]!Table2[#Data],4,FALSE),"")</f>
        <v>0.28360000000000002</v>
      </c>
      <c r="N550">
        <f>IFERROR(VLOOKUP(BikeData[[#This Row],[Intents]],[1]!Table2[#Data],5,FALSE),"")</f>
        <v>3</v>
      </c>
      <c r="O550">
        <f>IFERROR(VLOOKUP(BikeData[[#This Row],[Intents]],[1]!Table2[#Data],6,FALSE),"")</f>
        <v>6</v>
      </c>
      <c r="P550">
        <f>IFERROR(VLOOKUP(BikeData[[#This Row],[Intents]],[1]!Table2[#Data],7,FALSE),"")</f>
        <v>9</v>
      </c>
      <c r="Q550" s="2" t="str">
        <f>CHOOSE(BikeData[[#This Row],[Season]],"Spring","Summer","Fall","Winter")</f>
        <v>Spring</v>
      </c>
      <c r="R550" s="2" t="str">
        <f>CHOOSE(BikeData[[#This Row],[Weathersituation]],"Clear","Mist","Light Rain","Heavy Rain")</f>
        <v>Mist</v>
      </c>
      <c r="S550" s="2" t="str">
        <f>TEXT(BikeData[[#This Row],[Date]],"mmm")</f>
        <v>Jan</v>
      </c>
    </row>
    <row r="551" spans="1:19" x14ac:dyDescent="0.3">
      <c r="A551">
        <v>550</v>
      </c>
      <c r="B551" s="5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 s="6">
        <f>BikeData[[#This Row],[Temperature]]</f>
        <v>0.16</v>
      </c>
      <c r="L551">
        <f>IFERROR(VLOOKUP(BikeData[[#This Row],[Intents]],[1]!Table2[#Data],3,FALSE),"")</f>
        <v>0.69</v>
      </c>
      <c r="M551">
        <f>IFERROR(VLOOKUP(BikeData[[#This Row],[Intents]],[1]!Table2[#Data],4,FALSE),"")</f>
        <v>0.16420000000000001</v>
      </c>
      <c r="N551">
        <f>IFERROR(VLOOKUP(BikeData[[#This Row],[Intents]],[1]!Table2[#Data],5,FALSE),"")</f>
        <v>0</v>
      </c>
      <c r="O551">
        <f>IFERROR(VLOOKUP(BikeData[[#This Row],[Intents]],[1]!Table2[#Data],6,FALSE),"")</f>
        <v>5</v>
      </c>
      <c r="P551">
        <f>IFERROR(VLOOKUP(BikeData[[#This Row],[Intents]],[1]!Table2[#Data],7,FALSE),"")</f>
        <v>5</v>
      </c>
      <c r="Q551" s="2" t="str">
        <f>CHOOSE(BikeData[[#This Row],[Season]],"Spring","Summer","Fall","Winter")</f>
        <v>Spring</v>
      </c>
      <c r="R551" s="2" t="str">
        <f>CHOOSE(BikeData[[#This Row],[Weathersituation]],"Clear","Mist","Light Rain","Heavy Rain")</f>
        <v>Mist</v>
      </c>
      <c r="S551" s="2" t="str">
        <f>TEXT(BikeData[[#This Row],[Date]],"mmm")</f>
        <v>Jan</v>
      </c>
    </row>
    <row r="552" spans="1:19" x14ac:dyDescent="0.3">
      <c r="A552">
        <v>551</v>
      </c>
      <c r="B552" s="5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 s="6">
        <f>BikeData[[#This Row],[Temperature]]</f>
        <v>0.16</v>
      </c>
      <c r="L552">
        <f>IFERROR(VLOOKUP(BikeData[[#This Row],[Intents]],[1]!Table2[#Data],3,FALSE),"")</f>
        <v>0.69</v>
      </c>
      <c r="M552">
        <f>IFERROR(VLOOKUP(BikeData[[#This Row],[Intents]],[1]!Table2[#Data],4,FALSE),"")</f>
        <v>0.22389999999999999</v>
      </c>
      <c r="N552">
        <f>IFERROR(VLOOKUP(BikeData[[#This Row],[Intents]],[1]!Table2[#Data],5,FALSE),"")</f>
        <v>0</v>
      </c>
      <c r="O552">
        <f>IFERROR(VLOOKUP(BikeData[[#This Row],[Intents]],[1]!Table2[#Data],6,FALSE),"")</f>
        <v>2</v>
      </c>
      <c r="P552">
        <f>IFERROR(VLOOKUP(BikeData[[#This Row],[Intents]],[1]!Table2[#Data],7,FALSE),"")</f>
        <v>2</v>
      </c>
      <c r="Q552" s="2" t="str">
        <f>CHOOSE(BikeData[[#This Row],[Season]],"Spring","Summer","Fall","Winter")</f>
        <v>Spring</v>
      </c>
      <c r="R552" s="2" t="str">
        <f>CHOOSE(BikeData[[#This Row],[Weathersituation]],"Clear","Mist","Light Rain","Heavy Rain")</f>
        <v>Clear</v>
      </c>
      <c r="S552" s="2" t="str">
        <f>TEXT(BikeData[[#This Row],[Date]],"mmm")</f>
        <v>Jan</v>
      </c>
    </row>
    <row r="553" spans="1:19" x14ac:dyDescent="0.3">
      <c r="A553">
        <v>552</v>
      </c>
      <c r="B553" s="5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 s="6">
        <f>BikeData[[#This Row],[Temperature]]</f>
        <v>0.14000000000000001</v>
      </c>
      <c r="L553">
        <f>IFERROR(VLOOKUP(BikeData[[#This Row],[Intents]],[1]!Table2[#Data],3,FALSE),"")</f>
        <v>0.74</v>
      </c>
      <c r="M553">
        <f>IFERROR(VLOOKUP(BikeData[[#This Row],[Intents]],[1]!Table2[#Data],4,FALSE),"")</f>
        <v>0.1045</v>
      </c>
      <c r="N553">
        <f>IFERROR(VLOOKUP(BikeData[[#This Row],[Intents]],[1]!Table2[#Data],5,FALSE),"")</f>
        <v>0</v>
      </c>
      <c r="O553">
        <f>IFERROR(VLOOKUP(BikeData[[#This Row],[Intents]],[1]!Table2[#Data],6,FALSE),"")</f>
        <v>1</v>
      </c>
      <c r="P553">
        <f>IFERROR(VLOOKUP(BikeData[[#This Row],[Intents]],[1]!Table2[#Data],7,FALSE),"")</f>
        <v>1</v>
      </c>
      <c r="Q553" s="2" t="str">
        <f>CHOOSE(BikeData[[#This Row],[Season]],"Spring","Summer","Fall","Winter")</f>
        <v>Spring</v>
      </c>
      <c r="R553" s="2" t="str">
        <f>CHOOSE(BikeData[[#This Row],[Weathersituation]],"Clear","Mist","Light Rain","Heavy Rain")</f>
        <v>Clear</v>
      </c>
      <c r="S553" s="2" t="str">
        <f>TEXT(BikeData[[#This Row],[Date]],"mmm")</f>
        <v>Jan</v>
      </c>
    </row>
    <row r="554" spans="1:19" x14ac:dyDescent="0.3">
      <c r="A554">
        <v>553</v>
      </c>
      <c r="B554" s="5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 s="6">
        <f>BikeData[[#This Row],[Temperature]]</f>
        <v>0.14000000000000001</v>
      </c>
      <c r="L554">
        <f>IFERROR(VLOOKUP(BikeData[[#This Row],[Intents]],[1]!Table2[#Data],3,FALSE),"")</f>
        <v>0.74</v>
      </c>
      <c r="M554">
        <f>IFERROR(VLOOKUP(BikeData[[#This Row],[Intents]],[1]!Table2[#Data],4,FALSE),"")</f>
        <v>0.22389999999999999</v>
      </c>
      <c r="N554">
        <f>IFERROR(VLOOKUP(BikeData[[#This Row],[Intents]],[1]!Table2[#Data],5,FALSE),"")</f>
        <v>0</v>
      </c>
      <c r="O554">
        <f>IFERROR(VLOOKUP(BikeData[[#This Row],[Intents]],[1]!Table2[#Data],6,FALSE),"")</f>
        <v>9</v>
      </c>
      <c r="P554">
        <f>IFERROR(VLOOKUP(BikeData[[#This Row],[Intents]],[1]!Table2[#Data],7,FALSE),"")</f>
        <v>9</v>
      </c>
      <c r="Q554" s="2" t="str">
        <f>CHOOSE(BikeData[[#This Row],[Season]],"Spring","Summer","Fall","Winter")</f>
        <v>Spring</v>
      </c>
      <c r="R554" s="2" t="str">
        <f>CHOOSE(BikeData[[#This Row],[Weathersituation]],"Clear","Mist","Light Rain","Heavy Rain")</f>
        <v>Clear</v>
      </c>
      <c r="S554" s="2" t="str">
        <f>TEXT(BikeData[[#This Row],[Date]],"mmm")</f>
        <v>Jan</v>
      </c>
    </row>
    <row r="555" spans="1:19" x14ac:dyDescent="0.3">
      <c r="A555">
        <v>554</v>
      </c>
      <c r="B555" s="5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 s="6">
        <f>BikeData[[#This Row],[Temperature]]</f>
        <v>0.16</v>
      </c>
      <c r="L555">
        <f>IFERROR(VLOOKUP(BikeData[[#This Row],[Intents]],[1]!Table2[#Data],3,FALSE),"")</f>
        <v>0.74</v>
      </c>
      <c r="M555">
        <f>IFERROR(VLOOKUP(BikeData[[#This Row],[Intents]],[1]!Table2[#Data],4,FALSE),"")</f>
        <v>0.1045</v>
      </c>
      <c r="N555">
        <f>IFERROR(VLOOKUP(BikeData[[#This Row],[Intents]],[1]!Table2[#Data],5,FALSE),"")</f>
        <v>1</v>
      </c>
      <c r="O555">
        <f>IFERROR(VLOOKUP(BikeData[[#This Row],[Intents]],[1]!Table2[#Data],6,FALSE),"")</f>
        <v>35</v>
      </c>
      <c r="P555">
        <f>IFERROR(VLOOKUP(BikeData[[#This Row],[Intents]],[1]!Table2[#Data],7,FALSE),"")</f>
        <v>36</v>
      </c>
      <c r="Q555" s="2" t="str">
        <f>CHOOSE(BikeData[[#This Row],[Season]],"Spring","Summer","Fall","Winter")</f>
        <v>Spring</v>
      </c>
      <c r="R555" s="2" t="str">
        <f>CHOOSE(BikeData[[#This Row],[Weathersituation]],"Clear","Mist","Light Rain","Heavy Rain")</f>
        <v>Clear</v>
      </c>
      <c r="S555" s="2" t="str">
        <f>TEXT(BikeData[[#This Row],[Date]],"mmm")</f>
        <v>Jan</v>
      </c>
    </row>
    <row r="556" spans="1:19" x14ac:dyDescent="0.3">
      <c r="A556">
        <v>555</v>
      </c>
      <c r="B556" s="5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 s="6">
        <f>BikeData[[#This Row],[Temperature]]</f>
        <v>0.16</v>
      </c>
      <c r="L556">
        <f>IFERROR(VLOOKUP(BikeData[[#This Row],[Intents]],[1]!Table2[#Data],3,FALSE),"")</f>
        <v>0.74</v>
      </c>
      <c r="M556">
        <f>IFERROR(VLOOKUP(BikeData[[#This Row],[Intents]],[1]!Table2[#Data],4,FALSE),"")</f>
        <v>0.22389999999999999</v>
      </c>
      <c r="N556">
        <f>IFERROR(VLOOKUP(BikeData[[#This Row],[Intents]],[1]!Table2[#Data],5,FALSE),"")</f>
        <v>5</v>
      </c>
      <c r="O556">
        <f>IFERROR(VLOOKUP(BikeData[[#This Row],[Intents]],[1]!Table2[#Data],6,FALSE),"")</f>
        <v>103</v>
      </c>
      <c r="P556">
        <f>IFERROR(VLOOKUP(BikeData[[#This Row],[Intents]],[1]!Table2[#Data],7,FALSE),"")</f>
        <v>108</v>
      </c>
      <c r="Q556" s="2" t="str">
        <f>CHOOSE(BikeData[[#This Row],[Season]],"Spring","Summer","Fall","Winter")</f>
        <v>Spring</v>
      </c>
      <c r="R556" s="2" t="str">
        <f>CHOOSE(BikeData[[#This Row],[Weathersituation]],"Clear","Mist","Light Rain","Heavy Rain")</f>
        <v>Clear</v>
      </c>
      <c r="S556" s="2" t="str">
        <f>TEXT(BikeData[[#This Row],[Date]],"mmm")</f>
        <v>Jan</v>
      </c>
    </row>
    <row r="557" spans="1:19" x14ac:dyDescent="0.3">
      <c r="A557">
        <v>556</v>
      </c>
      <c r="B557" s="5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 s="6">
        <f>BikeData[[#This Row],[Temperature]]</f>
        <v>0.16</v>
      </c>
      <c r="L557">
        <f>IFERROR(VLOOKUP(BikeData[[#This Row],[Intents]],[1]!Table2[#Data],3,FALSE),"")</f>
        <v>0.74</v>
      </c>
      <c r="M557">
        <f>IFERROR(VLOOKUP(BikeData[[#This Row],[Intents]],[1]!Table2[#Data],4,FALSE),"")</f>
        <v>0.1343</v>
      </c>
      <c r="N557">
        <f>IFERROR(VLOOKUP(BikeData[[#This Row],[Intents]],[1]!Table2[#Data],5,FALSE),"")</f>
        <v>5</v>
      </c>
      <c r="O557">
        <f>IFERROR(VLOOKUP(BikeData[[#This Row],[Intents]],[1]!Table2[#Data],6,FALSE),"")</f>
        <v>233</v>
      </c>
      <c r="P557">
        <f>IFERROR(VLOOKUP(BikeData[[#This Row],[Intents]],[1]!Table2[#Data],7,FALSE),"")</f>
        <v>238</v>
      </c>
      <c r="Q557" s="2" t="str">
        <f>CHOOSE(BikeData[[#This Row],[Season]],"Spring","Summer","Fall","Winter")</f>
        <v>Spring</v>
      </c>
      <c r="R557" s="2" t="str">
        <f>CHOOSE(BikeData[[#This Row],[Weathersituation]],"Clear","Mist","Light Rain","Heavy Rain")</f>
        <v>Mist</v>
      </c>
      <c r="S557" s="2" t="str">
        <f>TEXT(BikeData[[#This Row],[Date]],"mmm")</f>
        <v>Jan</v>
      </c>
    </row>
    <row r="558" spans="1:19" x14ac:dyDescent="0.3">
      <c r="A558">
        <v>557</v>
      </c>
      <c r="B558" s="5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 s="6">
        <f>BikeData[[#This Row],[Temperature]]</f>
        <v>0.2</v>
      </c>
      <c r="L558">
        <f>IFERROR(VLOOKUP(BikeData[[#This Row],[Intents]],[1]!Table2[#Data],3,FALSE),"")</f>
        <v>0.64</v>
      </c>
      <c r="M558">
        <f>IFERROR(VLOOKUP(BikeData[[#This Row],[Intents]],[1]!Table2[#Data],4,FALSE),"")</f>
        <v>8.9599999999999999E-2</v>
      </c>
      <c r="N558">
        <f>IFERROR(VLOOKUP(BikeData[[#This Row],[Intents]],[1]!Table2[#Data],5,FALSE),"")</f>
        <v>10</v>
      </c>
      <c r="O558">
        <f>IFERROR(VLOOKUP(BikeData[[#This Row],[Intents]],[1]!Table2[#Data],6,FALSE),"")</f>
        <v>134</v>
      </c>
      <c r="P558">
        <f>IFERROR(VLOOKUP(BikeData[[#This Row],[Intents]],[1]!Table2[#Data],7,FALSE),"")</f>
        <v>144</v>
      </c>
      <c r="Q558" s="2" t="str">
        <f>CHOOSE(BikeData[[#This Row],[Season]],"Spring","Summer","Fall","Winter")</f>
        <v>Spring</v>
      </c>
      <c r="R558" s="2" t="str">
        <f>CHOOSE(BikeData[[#This Row],[Weathersituation]],"Clear","Mist","Light Rain","Heavy Rain")</f>
        <v>Mist</v>
      </c>
      <c r="S558" s="2" t="str">
        <f>TEXT(BikeData[[#This Row],[Date]],"mmm")</f>
        <v>Jan</v>
      </c>
    </row>
    <row r="559" spans="1:19" x14ac:dyDescent="0.3">
      <c r="A559">
        <v>558</v>
      </c>
      <c r="B559" s="5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 s="6">
        <f>BikeData[[#This Row],[Temperature]]</f>
        <v>0.22</v>
      </c>
      <c r="L559">
        <f>IFERROR(VLOOKUP(BikeData[[#This Row],[Intents]],[1]!Table2[#Data],3,FALSE),"")</f>
        <v>0.6</v>
      </c>
      <c r="M559">
        <f>IFERROR(VLOOKUP(BikeData[[#This Row],[Intents]],[1]!Table2[#Data],4,FALSE),"")</f>
        <v>0.1045</v>
      </c>
      <c r="N559">
        <f>IFERROR(VLOOKUP(BikeData[[#This Row],[Intents]],[1]!Table2[#Data],5,FALSE),"")</f>
        <v>6</v>
      </c>
      <c r="O559">
        <f>IFERROR(VLOOKUP(BikeData[[#This Row],[Intents]],[1]!Table2[#Data],6,FALSE),"")</f>
        <v>49</v>
      </c>
      <c r="P559">
        <f>IFERROR(VLOOKUP(BikeData[[#This Row],[Intents]],[1]!Table2[#Data],7,FALSE),"")</f>
        <v>55</v>
      </c>
      <c r="Q559" s="2" t="str">
        <f>CHOOSE(BikeData[[#This Row],[Season]],"Spring","Summer","Fall","Winter")</f>
        <v>Spring</v>
      </c>
      <c r="R559" s="2" t="str">
        <f>CHOOSE(BikeData[[#This Row],[Weathersituation]],"Clear","Mist","Light Rain","Heavy Rain")</f>
        <v>Mist</v>
      </c>
      <c r="S559" s="2" t="str">
        <f>TEXT(BikeData[[#This Row],[Date]],"mmm")</f>
        <v>Jan</v>
      </c>
    </row>
    <row r="560" spans="1:19" x14ac:dyDescent="0.3">
      <c r="A560">
        <v>559</v>
      </c>
      <c r="B560" s="5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 s="6">
        <f>BikeData[[#This Row],[Temperature]]</f>
        <v>0.24</v>
      </c>
      <c r="L560">
        <f>IFERROR(VLOOKUP(BikeData[[#This Row],[Intents]],[1]!Table2[#Data],3,FALSE),"")</f>
        <v>0.6</v>
      </c>
      <c r="M560">
        <f>IFERROR(VLOOKUP(BikeData[[#This Row],[Intents]],[1]!Table2[#Data],4,FALSE),"")</f>
        <v>0.1343</v>
      </c>
      <c r="N560">
        <f>IFERROR(VLOOKUP(BikeData[[#This Row],[Intents]],[1]!Table2[#Data],5,FALSE),"")</f>
        <v>6</v>
      </c>
      <c r="O560">
        <f>IFERROR(VLOOKUP(BikeData[[#This Row],[Intents]],[1]!Table2[#Data],6,FALSE),"")</f>
        <v>55</v>
      </c>
      <c r="P560">
        <f>IFERROR(VLOOKUP(BikeData[[#This Row],[Intents]],[1]!Table2[#Data],7,FALSE),"")</f>
        <v>61</v>
      </c>
      <c r="Q560" s="2" t="str">
        <f>CHOOSE(BikeData[[#This Row],[Season]],"Spring","Summer","Fall","Winter")</f>
        <v>Spring</v>
      </c>
      <c r="R560" s="2" t="str">
        <f>CHOOSE(BikeData[[#This Row],[Weathersituation]],"Clear","Mist","Light Rain","Heavy Rain")</f>
        <v>Mist</v>
      </c>
      <c r="S560" s="2" t="str">
        <f>TEXT(BikeData[[#This Row],[Date]],"mmm")</f>
        <v>Jan</v>
      </c>
    </row>
    <row r="561" spans="1:19" x14ac:dyDescent="0.3">
      <c r="A561">
        <v>560</v>
      </c>
      <c r="B561" s="5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 s="6">
        <f>BikeData[[#This Row],[Temperature]]</f>
        <v>0.26</v>
      </c>
      <c r="L561">
        <f>IFERROR(VLOOKUP(BikeData[[#This Row],[Intents]],[1]!Table2[#Data],3,FALSE),"")</f>
        <v>0.56000000000000005</v>
      </c>
      <c r="M561">
        <f>IFERROR(VLOOKUP(BikeData[[#This Row],[Intents]],[1]!Table2[#Data],4,FALSE),"")</f>
        <v>8.9599999999999999E-2</v>
      </c>
      <c r="N561">
        <f>IFERROR(VLOOKUP(BikeData[[#This Row],[Intents]],[1]!Table2[#Data],5,FALSE),"")</f>
        <v>21</v>
      </c>
      <c r="O561">
        <f>IFERROR(VLOOKUP(BikeData[[#This Row],[Intents]],[1]!Table2[#Data],6,FALSE),"")</f>
        <v>85</v>
      </c>
      <c r="P561">
        <f>IFERROR(VLOOKUP(BikeData[[#This Row],[Intents]],[1]!Table2[#Data],7,FALSE),"")</f>
        <v>106</v>
      </c>
      <c r="Q561" s="2" t="str">
        <f>CHOOSE(BikeData[[#This Row],[Season]],"Spring","Summer","Fall","Winter")</f>
        <v>Spring</v>
      </c>
      <c r="R561" s="2" t="str">
        <f>CHOOSE(BikeData[[#This Row],[Weathersituation]],"Clear","Mist","Light Rain","Heavy Rain")</f>
        <v>Mist</v>
      </c>
      <c r="S561" s="2" t="str">
        <f>TEXT(BikeData[[#This Row],[Date]],"mmm")</f>
        <v>Jan</v>
      </c>
    </row>
    <row r="562" spans="1:19" x14ac:dyDescent="0.3">
      <c r="A562">
        <v>561</v>
      </c>
      <c r="B562" s="5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 s="6">
        <f>BikeData[[#This Row],[Temperature]]</f>
        <v>0.26</v>
      </c>
      <c r="L562">
        <f>IFERROR(VLOOKUP(BikeData[[#This Row],[Intents]],[1]!Table2[#Data],3,FALSE),"")</f>
        <v>0.56000000000000005</v>
      </c>
      <c r="M562">
        <f>IFERROR(VLOOKUP(BikeData[[#This Row],[Intents]],[1]!Table2[#Data],4,FALSE),"")</f>
        <v>0.1343</v>
      </c>
      <c r="N562">
        <f>IFERROR(VLOOKUP(BikeData[[#This Row],[Intents]],[1]!Table2[#Data],5,FALSE),"")</f>
        <v>21</v>
      </c>
      <c r="O562">
        <f>IFERROR(VLOOKUP(BikeData[[#This Row],[Intents]],[1]!Table2[#Data],6,FALSE),"")</f>
        <v>72</v>
      </c>
      <c r="P562">
        <f>IFERROR(VLOOKUP(BikeData[[#This Row],[Intents]],[1]!Table2[#Data],7,FALSE),"")</f>
        <v>93</v>
      </c>
      <c r="Q562" s="2" t="str">
        <f>CHOOSE(BikeData[[#This Row],[Season]],"Spring","Summer","Fall","Winter")</f>
        <v>Spring</v>
      </c>
      <c r="R562" s="2" t="str">
        <f>CHOOSE(BikeData[[#This Row],[Weathersituation]],"Clear","Mist","Light Rain","Heavy Rain")</f>
        <v>Mist</v>
      </c>
      <c r="S562" s="2" t="str">
        <f>TEXT(BikeData[[#This Row],[Date]],"mmm")</f>
        <v>Jan</v>
      </c>
    </row>
    <row r="563" spans="1:19" x14ac:dyDescent="0.3">
      <c r="A563">
        <v>562</v>
      </c>
      <c r="B563" s="5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 s="6">
        <f>BikeData[[#This Row],[Temperature]]</f>
        <v>0.3</v>
      </c>
      <c r="L563">
        <f>IFERROR(VLOOKUP(BikeData[[#This Row],[Intents]],[1]!Table2[#Data],3,FALSE),"")</f>
        <v>0.45</v>
      </c>
      <c r="M563">
        <f>IFERROR(VLOOKUP(BikeData[[#This Row],[Intents]],[1]!Table2[#Data],4,FALSE),"")</f>
        <v>0</v>
      </c>
      <c r="N563">
        <f>IFERROR(VLOOKUP(BikeData[[#This Row],[Intents]],[1]!Table2[#Data],5,FALSE),"")</f>
        <v>11</v>
      </c>
      <c r="O563">
        <f>IFERROR(VLOOKUP(BikeData[[#This Row],[Intents]],[1]!Table2[#Data],6,FALSE),"")</f>
        <v>57</v>
      </c>
      <c r="P563">
        <f>IFERROR(VLOOKUP(BikeData[[#This Row],[Intents]],[1]!Table2[#Data],7,FALSE),"")</f>
        <v>68</v>
      </c>
      <c r="Q563" s="2" t="str">
        <f>CHOOSE(BikeData[[#This Row],[Season]],"Spring","Summer","Fall","Winter")</f>
        <v>Spring</v>
      </c>
      <c r="R563" s="2" t="str">
        <f>CHOOSE(BikeData[[#This Row],[Weathersituation]],"Clear","Mist","Light Rain","Heavy Rain")</f>
        <v>Mist</v>
      </c>
      <c r="S563" s="2" t="str">
        <f>TEXT(BikeData[[#This Row],[Date]],"mmm")</f>
        <v>Jan</v>
      </c>
    </row>
    <row r="564" spans="1:19" x14ac:dyDescent="0.3">
      <c r="A564">
        <v>563</v>
      </c>
      <c r="B564" s="5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 s="6">
        <f>BikeData[[#This Row],[Temperature]]</f>
        <v>0.32</v>
      </c>
      <c r="L564">
        <f>IFERROR(VLOOKUP(BikeData[[#This Row],[Intents]],[1]!Table2[#Data],3,FALSE),"")</f>
        <v>0.42</v>
      </c>
      <c r="M564">
        <f>IFERROR(VLOOKUP(BikeData[[#This Row],[Intents]],[1]!Table2[#Data],4,FALSE),"")</f>
        <v>0</v>
      </c>
      <c r="N564">
        <f>IFERROR(VLOOKUP(BikeData[[#This Row],[Intents]],[1]!Table2[#Data],5,FALSE),"")</f>
        <v>21</v>
      </c>
      <c r="O564">
        <f>IFERROR(VLOOKUP(BikeData[[#This Row],[Intents]],[1]!Table2[#Data],6,FALSE),"")</f>
        <v>63</v>
      </c>
      <c r="P564">
        <f>IFERROR(VLOOKUP(BikeData[[#This Row],[Intents]],[1]!Table2[#Data],7,FALSE),"")</f>
        <v>84</v>
      </c>
      <c r="Q564" s="2" t="str">
        <f>CHOOSE(BikeData[[#This Row],[Season]],"Spring","Summer","Fall","Winter")</f>
        <v>Spring</v>
      </c>
      <c r="R564" s="2" t="str">
        <f>CHOOSE(BikeData[[#This Row],[Weathersituation]],"Clear","Mist","Light Rain","Heavy Rain")</f>
        <v>Mist</v>
      </c>
      <c r="S564" s="2" t="str">
        <f>TEXT(BikeData[[#This Row],[Date]],"mmm")</f>
        <v>Jan</v>
      </c>
    </row>
    <row r="565" spans="1:19" x14ac:dyDescent="0.3">
      <c r="A565">
        <v>564</v>
      </c>
      <c r="B565" s="5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 s="6">
        <f>BikeData[[#This Row],[Temperature]]</f>
        <v>0.32</v>
      </c>
      <c r="L565">
        <f>IFERROR(VLOOKUP(BikeData[[#This Row],[Intents]],[1]!Table2[#Data],3,FALSE),"")</f>
        <v>0.42</v>
      </c>
      <c r="M565">
        <f>IFERROR(VLOOKUP(BikeData[[#This Row],[Intents]],[1]!Table2[#Data],4,FALSE),"")</f>
        <v>0</v>
      </c>
      <c r="N565">
        <f>IFERROR(VLOOKUP(BikeData[[#This Row],[Intents]],[1]!Table2[#Data],5,FALSE),"")</f>
        <v>14</v>
      </c>
      <c r="O565">
        <f>IFERROR(VLOOKUP(BikeData[[#This Row],[Intents]],[1]!Table2[#Data],6,FALSE),"")</f>
        <v>102</v>
      </c>
      <c r="P565">
        <f>IFERROR(VLOOKUP(BikeData[[#This Row],[Intents]],[1]!Table2[#Data],7,FALSE),"")</f>
        <v>116</v>
      </c>
      <c r="Q565" s="2" t="str">
        <f>CHOOSE(BikeData[[#This Row],[Season]],"Spring","Summer","Fall","Winter")</f>
        <v>Spring</v>
      </c>
      <c r="R565" s="2" t="str">
        <f>CHOOSE(BikeData[[#This Row],[Weathersituation]],"Clear","Mist","Light Rain","Heavy Rain")</f>
        <v>Mist</v>
      </c>
      <c r="S565" s="2" t="str">
        <f>TEXT(BikeData[[#This Row],[Date]],"mmm")</f>
        <v>Jan</v>
      </c>
    </row>
    <row r="566" spans="1:19" x14ac:dyDescent="0.3">
      <c r="A566">
        <v>565</v>
      </c>
      <c r="B566" s="5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 s="6">
        <f>BikeData[[#This Row],[Temperature]]</f>
        <v>0.3</v>
      </c>
      <c r="L566">
        <f>IFERROR(VLOOKUP(BikeData[[#This Row],[Intents]],[1]!Table2[#Data],3,FALSE),"")</f>
        <v>0.45</v>
      </c>
      <c r="M566">
        <f>IFERROR(VLOOKUP(BikeData[[#This Row],[Intents]],[1]!Table2[#Data],4,FALSE),"")</f>
        <v>0</v>
      </c>
      <c r="N566">
        <f>IFERROR(VLOOKUP(BikeData[[#This Row],[Intents]],[1]!Table2[#Data],5,FALSE),"")</f>
        <v>14</v>
      </c>
      <c r="O566">
        <f>IFERROR(VLOOKUP(BikeData[[#This Row],[Intents]],[1]!Table2[#Data],6,FALSE),"")</f>
        <v>208</v>
      </c>
      <c r="P566">
        <f>IFERROR(VLOOKUP(BikeData[[#This Row],[Intents]],[1]!Table2[#Data],7,FALSE),"")</f>
        <v>222</v>
      </c>
      <c r="Q566" s="2" t="str">
        <f>CHOOSE(BikeData[[#This Row],[Season]],"Spring","Summer","Fall","Winter")</f>
        <v>Spring</v>
      </c>
      <c r="R566" s="2" t="str">
        <f>CHOOSE(BikeData[[#This Row],[Weathersituation]],"Clear","Mist","Light Rain","Heavy Rain")</f>
        <v>Clear</v>
      </c>
      <c r="S566" s="2" t="str">
        <f>TEXT(BikeData[[#This Row],[Date]],"mmm")</f>
        <v>Jan</v>
      </c>
    </row>
    <row r="567" spans="1:19" x14ac:dyDescent="0.3">
      <c r="A567">
        <v>566</v>
      </c>
      <c r="B567" s="5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 s="6">
        <f>BikeData[[#This Row],[Temperature]]</f>
        <v>0.3</v>
      </c>
      <c r="L567">
        <f>IFERROR(VLOOKUP(BikeData[[#This Row],[Intents]],[1]!Table2[#Data],3,FALSE),"")</f>
        <v>0.49</v>
      </c>
      <c r="M567">
        <f>IFERROR(VLOOKUP(BikeData[[#This Row],[Intents]],[1]!Table2[#Data],4,FALSE),"")</f>
        <v>8.9599999999999999E-2</v>
      </c>
      <c r="N567">
        <f>IFERROR(VLOOKUP(BikeData[[#This Row],[Intents]],[1]!Table2[#Data],5,FALSE),"")</f>
        <v>7</v>
      </c>
      <c r="O567">
        <f>IFERROR(VLOOKUP(BikeData[[#This Row],[Intents]],[1]!Table2[#Data],6,FALSE),"")</f>
        <v>218</v>
      </c>
      <c r="P567">
        <f>IFERROR(VLOOKUP(BikeData[[#This Row],[Intents]],[1]!Table2[#Data],7,FALSE),"")</f>
        <v>225</v>
      </c>
      <c r="Q567" s="2" t="str">
        <f>CHOOSE(BikeData[[#This Row],[Season]],"Spring","Summer","Fall","Winter")</f>
        <v>Spring</v>
      </c>
      <c r="R567" s="2" t="str">
        <f>CHOOSE(BikeData[[#This Row],[Weathersituation]],"Clear","Mist","Light Rain","Heavy Rain")</f>
        <v>Mist</v>
      </c>
      <c r="S567" s="2" t="str">
        <f>TEXT(BikeData[[#This Row],[Date]],"mmm")</f>
        <v>Jan</v>
      </c>
    </row>
    <row r="568" spans="1:19" x14ac:dyDescent="0.3">
      <c r="A568">
        <v>567</v>
      </c>
      <c r="B568" s="5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 s="6">
        <f>BikeData[[#This Row],[Temperature]]</f>
        <v>0.26</v>
      </c>
      <c r="L568">
        <f>IFERROR(VLOOKUP(BikeData[[#This Row],[Intents]],[1]!Table2[#Data],3,FALSE),"")</f>
        <v>0.65</v>
      </c>
      <c r="M568">
        <f>IFERROR(VLOOKUP(BikeData[[#This Row],[Intents]],[1]!Table2[#Data],4,FALSE),"")</f>
        <v>0.16420000000000001</v>
      </c>
      <c r="N568">
        <f>IFERROR(VLOOKUP(BikeData[[#This Row],[Intents]],[1]!Table2[#Data],5,FALSE),"")</f>
        <v>13</v>
      </c>
      <c r="O568">
        <f>IFERROR(VLOOKUP(BikeData[[#This Row],[Intents]],[1]!Table2[#Data],6,FALSE),"")</f>
        <v>133</v>
      </c>
      <c r="P568">
        <f>IFERROR(VLOOKUP(BikeData[[#This Row],[Intents]],[1]!Table2[#Data],7,FALSE),"")</f>
        <v>146</v>
      </c>
      <c r="Q568" s="2" t="str">
        <f>CHOOSE(BikeData[[#This Row],[Season]],"Spring","Summer","Fall","Winter")</f>
        <v>Spring</v>
      </c>
      <c r="R568" s="2" t="str">
        <f>CHOOSE(BikeData[[#This Row],[Weathersituation]],"Clear","Mist","Light Rain","Heavy Rain")</f>
        <v>Mist</v>
      </c>
      <c r="S568" s="2" t="str">
        <f>TEXT(BikeData[[#This Row],[Date]],"mmm")</f>
        <v>Jan</v>
      </c>
    </row>
    <row r="569" spans="1:19" x14ac:dyDescent="0.3">
      <c r="A569">
        <v>568</v>
      </c>
      <c r="B569" s="5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 s="6">
        <f>BikeData[[#This Row],[Temperature]]</f>
        <v>0.24</v>
      </c>
      <c r="L569">
        <f>IFERROR(VLOOKUP(BikeData[[#This Row],[Intents]],[1]!Table2[#Data],3,FALSE),"")</f>
        <v>0.65</v>
      </c>
      <c r="M569">
        <f>IFERROR(VLOOKUP(BikeData[[#This Row],[Intents]],[1]!Table2[#Data],4,FALSE),"")</f>
        <v>0.19400000000000001</v>
      </c>
      <c r="N569">
        <f>IFERROR(VLOOKUP(BikeData[[#This Row],[Intents]],[1]!Table2[#Data],5,FALSE),"")</f>
        <v>16</v>
      </c>
      <c r="O569">
        <f>IFERROR(VLOOKUP(BikeData[[#This Row],[Intents]],[1]!Table2[#Data],6,FALSE),"")</f>
        <v>103</v>
      </c>
      <c r="P569">
        <f>IFERROR(VLOOKUP(BikeData[[#This Row],[Intents]],[1]!Table2[#Data],7,FALSE),"")</f>
        <v>119</v>
      </c>
      <c r="Q569" s="2" t="str">
        <f>CHOOSE(BikeData[[#This Row],[Season]],"Spring","Summer","Fall","Winter")</f>
        <v>Spring</v>
      </c>
      <c r="R569" s="2" t="str">
        <f>CHOOSE(BikeData[[#This Row],[Weathersituation]],"Clear","Mist","Light Rain","Heavy Rain")</f>
        <v>Clear</v>
      </c>
      <c r="S569" s="2" t="str">
        <f>TEXT(BikeData[[#This Row],[Date]],"mmm")</f>
        <v>Jan</v>
      </c>
    </row>
    <row r="570" spans="1:19" x14ac:dyDescent="0.3">
      <c r="A570">
        <v>569</v>
      </c>
      <c r="B570" s="5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 s="6">
        <f>BikeData[[#This Row],[Temperature]]</f>
        <v>0.24</v>
      </c>
      <c r="L570">
        <f>IFERROR(VLOOKUP(BikeData[[#This Row],[Intents]],[1]!Table2[#Data],3,FALSE),"")</f>
        <v>0.65</v>
      </c>
      <c r="M570">
        <f>IFERROR(VLOOKUP(BikeData[[#This Row],[Intents]],[1]!Table2[#Data],4,FALSE),"")</f>
        <v>0.19400000000000001</v>
      </c>
      <c r="N570">
        <f>IFERROR(VLOOKUP(BikeData[[#This Row],[Intents]],[1]!Table2[#Data],5,FALSE),"")</f>
        <v>5</v>
      </c>
      <c r="O570">
        <f>IFERROR(VLOOKUP(BikeData[[#This Row],[Intents]],[1]!Table2[#Data],6,FALSE),"")</f>
        <v>40</v>
      </c>
      <c r="P570">
        <f>IFERROR(VLOOKUP(BikeData[[#This Row],[Intents]],[1]!Table2[#Data],7,FALSE),"")</f>
        <v>45</v>
      </c>
      <c r="Q570" s="2" t="str">
        <f>CHOOSE(BikeData[[#This Row],[Season]],"Spring","Summer","Fall","Winter")</f>
        <v>Spring</v>
      </c>
      <c r="R570" s="2" t="str">
        <f>CHOOSE(BikeData[[#This Row],[Weathersituation]],"Clear","Mist","Light Rain","Heavy Rain")</f>
        <v>Clear</v>
      </c>
      <c r="S570" s="2" t="str">
        <f>TEXT(BikeData[[#This Row],[Date]],"mmm")</f>
        <v>Jan</v>
      </c>
    </row>
    <row r="571" spans="1:19" x14ac:dyDescent="0.3">
      <c r="A571">
        <v>570</v>
      </c>
      <c r="B571" s="5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 s="6">
        <f>BikeData[[#This Row],[Temperature]]</f>
        <v>0.22</v>
      </c>
      <c r="L571">
        <f>IFERROR(VLOOKUP(BikeData[[#This Row],[Intents]],[1]!Table2[#Data],3,FALSE),"")</f>
        <v>0.64</v>
      </c>
      <c r="M571">
        <f>IFERROR(VLOOKUP(BikeData[[#This Row],[Intents]],[1]!Table2[#Data],4,FALSE),"")</f>
        <v>0.16420000000000001</v>
      </c>
      <c r="N571">
        <f>IFERROR(VLOOKUP(BikeData[[#This Row],[Intents]],[1]!Table2[#Data],5,FALSE),"")</f>
        <v>4</v>
      </c>
      <c r="O571">
        <f>IFERROR(VLOOKUP(BikeData[[#This Row],[Intents]],[1]!Table2[#Data],6,FALSE),"")</f>
        <v>49</v>
      </c>
      <c r="P571">
        <f>IFERROR(VLOOKUP(BikeData[[#This Row],[Intents]],[1]!Table2[#Data],7,FALSE),"")</f>
        <v>53</v>
      </c>
      <c r="Q571" s="2" t="str">
        <f>CHOOSE(BikeData[[#This Row],[Season]],"Spring","Summer","Fall","Winter")</f>
        <v>Spring</v>
      </c>
      <c r="R571" s="2" t="str">
        <f>CHOOSE(BikeData[[#This Row],[Weathersituation]],"Clear","Mist","Light Rain","Heavy Rain")</f>
        <v>Clear</v>
      </c>
      <c r="S571" s="2" t="str">
        <f>TEXT(BikeData[[#This Row],[Date]],"mmm")</f>
        <v>Jan</v>
      </c>
    </row>
    <row r="572" spans="1:19" x14ac:dyDescent="0.3">
      <c r="A572">
        <v>571</v>
      </c>
      <c r="B572" s="5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 s="6">
        <f>BikeData[[#This Row],[Temperature]]</f>
        <v>0.22</v>
      </c>
      <c r="L572">
        <f>IFERROR(VLOOKUP(BikeData[[#This Row],[Intents]],[1]!Table2[#Data],3,FALSE),"")</f>
        <v>0.64</v>
      </c>
      <c r="M572">
        <f>IFERROR(VLOOKUP(BikeData[[#This Row],[Intents]],[1]!Table2[#Data],4,FALSE),"")</f>
        <v>0.16420000000000001</v>
      </c>
      <c r="N572">
        <f>IFERROR(VLOOKUP(BikeData[[#This Row],[Intents]],[1]!Table2[#Data],5,FALSE),"")</f>
        <v>3</v>
      </c>
      <c r="O572">
        <f>IFERROR(VLOOKUP(BikeData[[#This Row],[Intents]],[1]!Table2[#Data],6,FALSE),"")</f>
        <v>37</v>
      </c>
      <c r="P572">
        <f>IFERROR(VLOOKUP(BikeData[[#This Row],[Intents]],[1]!Table2[#Data],7,FALSE),"")</f>
        <v>40</v>
      </c>
      <c r="Q572" s="2" t="str">
        <f>CHOOSE(BikeData[[#This Row],[Season]],"Spring","Summer","Fall","Winter")</f>
        <v>Spring</v>
      </c>
      <c r="R572" s="2" t="str">
        <f>CHOOSE(BikeData[[#This Row],[Weathersituation]],"Clear","Mist","Light Rain","Heavy Rain")</f>
        <v>Mist</v>
      </c>
      <c r="S572" s="2" t="str">
        <f>TEXT(BikeData[[#This Row],[Date]],"mmm")</f>
        <v>Jan</v>
      </c>
    </row>
    <row r="573" spans="1:19" x14ac:dyDescent="0.3">
      <c r="A573">
        <v>572</v>
      </c>
      <c r="B573" s="5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 s="6">
        <f>BikeData[[#This Row],[Temperature]]</f>
        <v>0.22</v>
      </c>
      <c r="L573">
        <f>IFERROR(VLOOKUP(BikeData[[#This Row],[Intents]],[1]!Table2[#Data],3,FALSE),"")</f>
        <v>0.69</v>
      </c>
      <c r="M573">
        <f>IFERROR(VLOOKUP(BikeData[[#This Row],[Intents]],[1]!Table2[#Data],4,FALSE),"")</f>
        <v>0.1343</v>
      </c>
      <c r="N573">
        <f>IFERROR(VLOOKUP(BikeData[[#This Row],[Intents]],[1]!Table2[#Data],5,FALSE),"")</f>
        <v>3</v>
      </c>
      <c r="O573">
        <f>IFERROR(VLOOKUP(BikeData[[#This Row],[Intents]],[1]!Table2[#Data],6,FALSE),"")</f>
        <v>14</v>
      </c>
      <c r="P573">
        <f>IFERROR(VLOOKUP(BikeData[[#This Row],[Intents]],[1]!Table2[#Data],7,FALSE),"")</f>
        <v>17</v>
      </c>
      <c r="Q573" s="2" t="str">
        <f>CHOOSE(BikeData[[#This Row],[Season]],"Spring","Summer","Fall","Winter")</f>
        <v>Spring</v>
      </c>
      <c r="R573" s="2" t="str">
        <f>CHOOSE(BikeData[[#This Row],[Weathersituation]],"Clear","Mist","Light Rain","Heavy Rain")</f>
        <v>Mist</v>
      </c>
      <c r="S573" s="2" t="str">
        <f>TEXT(BikeData[[#This Row],[Date]],"mmm")</f>
        <v>Jan</v>
      </c>
    </row>
    <row r="574" spans="1:19" x14ac:dyDescent="0.3">
      <c r="A574">
        <v>573</v>
      </c>
      <c r="B574" s="5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 s="6">
        <f>BikeData[[#This Row],[Temperature]]</f>
        <v>0.24</v>
      </c>
      <c r="L574">
        <f>IFERROR(VLOOKUP(BikeData[[#This Row],[Intents]],[1]!Table2[#Data],3,FALSE),"")</f>
        <v>0.65</v>
      </c>
      <c r="M574">
        <f>IFERROR(VLOOKUP(BikeData[[#This Row],[Intents]],[1]!Table2[#Data],4,FALSE),"")</f>
        <v>0.1343</v>
      </c>
      <c r="N574">
        <f>IFERROR(VLOOKUP(BikeData[[#This Row],[Intents]],[1]!Table2[#Data],5,FALSE),"")</f>
        <v>0</v>
      </c>
      <c r="O574">
        <f>IFERROR(VLOOKUP(BikeData[[#This Row],[Intents]],[1]!Table2[#Data],6,FALSE),"")</f>
        <v>5</v>
      </c>
      <c r="P574">
        <f>IFERROR(VLOOKUP(BikeData[[#This Row],[Intents]],[1]!Table2[#Data],7,FALSE),"")</f>
        <v>5</v>
      </c>
      <c r="Q574" s="2" t="str">
        <f>CHOOSE(BikeData[[#This Row],[Season]],"Spring","Summer","Fall","Winter")</f>
        <v>Spring</v>
      </c>
      <c r="R574" s="2" t="str">
        <f>CHOOSE(BikeData[[#This Row],[Weathersituation]],"Clear","Mist","Light Rain","Heavy Rain")</f>
        <v>Mist</v>
      </c>
      <c r="S574" s="2" t="str">
        <f>TEXT(BikeData[[#This Row],[Date]],"mmm")</f>
        <v>Jan</v>
      </c>
    </row>
    <row r="575" spans="1:19" x14ac:dyDescent="0.3">
      <c r="A575">
        <v>574</v>
      </c>
      <c r="B575" s="5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 s="6">
        <f>BikeData[[#This Row],[Temperature]]</f>
        <v>0.22</v>
      </c>
      <c r="L575">
        <f>IFERROR(VLOOKUP(BikeData[[#This Row],[Intents]],[1]!Table2[#Data],3,FALSE),"")</f>
        <v>0.69</v>
      </c>
      <c r="M575">
        <f>IFERROR(VLOOKUP(BikeData[[#This Row],[Intents]],[1]!Table2[#Data],4,FALSE),"")</f>
        <v>0.19400000000000001</v>
      </c>
      <c r="N575">
        <f>IFERROR(VLOOKUP(BikeData[[#This Row],[Intents]],[1]!Table2[#Data],5,FALSE),"")</f>
        <v>3</v>
      </c>
      <c r="O575">
        <f>IFERROR(VLOOKUP(BikeData[[#This Row],[Intents]],[1]!Table2[#Data],6,FALSE),"")</f>
        <v>7</v>
      </c>
      <c r="P575">
        <f>IFERROR(VLOOKUP(BikeData[[#This Row],[Intents]],[1]!Table2[#Data],7,FALSE),"")</f>
        <v>10</v>
      </c>
      <c r="Q575" s="2" t="str">
        <f>CHOOSE(BikeData[[#This Row],[Season]],"Spring","Summer","Fall","Winter")</f>
        <v>Spring</v>
      </c>
      <c r="R575" s="2" t="str">
        <f>CHOOSE(BikeData[[#This Row],[Weathersituation]],"Clear","Mist","Light Rain","Heavy Rain")</f>
        <v>Light Rain</v>
      </c>
      <c r="S575" s="2" t="str">
        <f>TEXT(BikeData[[#This Row],[Date]],"mmm")</f>
        <v>Jan</v>
      </c>
    </row>
    <row r="576" spans="1:19" x14ac:dyDescent="0.3">
      <c r="A576">
        <v>575</v>
      </c>
      <c r="B576" s="5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 s="6">
        <f>BikeData[[#This Row],[Temperature]]</f>
        <v>0.2</v>
      </c>
      <c r="L576">
        <f>IFERROR(VLOOKUP(BikeData[[#This Row],[Intents]],[1]!Table2[#Data],3,FALSE),"")</f>
        <v>0.86</v>
      </c>
      <c r="M576">
        <f>IFERROR(VLOOKUP(BikeData[[#This Row],[Intents]],[1]!Table2[#Data],4,FALSE),"")</f>
        <v>0.28360000000000002</v>
      </c>
      <c r="N576">
        <f>IFERROR(VLOOKUP(BikeData[[#This Row],[Intents]],[1]!Table2[#Data],5,FALSE),"")</f>
        <v>0</v>
      </c>
      <c r="O576">
        <f>IFERROR(VLOOKUP(BikeData[[#This Row],[Intents]],[1]!Table2[#Data],6,FALSE),"")</f>
        <v>1</v>
      </c>
      <c r="P576">
        <f>IFERROR(VLOOKUP(BikeData[[#This Row],[Intents]],[1]!Table2[#Data],7,FALSE),"")</f>
        <v>1</v>
      </c>
      <c r="Q576" s="2" t="str">
        <f>CHOOSE(BikeData[[#This Row],[Season]],"Spring","Summer","Fall","Winter")</f>
        <v>Spring</v>
      </c>
      <c r="R576" s="2" t="str">
        <f>CHOOSE(BikeData[[#This Row],[Weathersituation]],"Clear","Mist","Light Rain","Heavy Rain")</f>
        <v>Light Rain</v>
      </c>
      <c r="S576" s="2" t="str">
        <f>TEXT(BikeData[[#This Row],[Date]],"mmm")</f>
        <v>Jan</v>
      </c>
    </row>
    <row r="577" spans="1:19" x14ac:dyDescent="0.3">
      <c r="A577">
        <v>576</v>
      </c>
      <c r="B577" s="5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 s="6">
        <f>BikeData[[#This Row],[Temperature]]</f>
        <v>0.2</v>
      </c>
      <c r="L577">
        <f>IFERROR(VLOOKUP(BikeData[[#This Row],[Intents]],[1]!Table2[#Data],3,FALSE),"")</f>
        <v>0.86</v>
      </c>
      <c r="M577">
        <f>IFERROR(VLOOKUP(BikeData[[#This Row],[Intents]],[1]!Table2[#Data],4,FALSE),"")</f>
        <v>0.28360000000000002</v>
      </c>
      <c r="N577">
        <f>IFERROR(VLOOKUP(BikeData[[#This Row],[Intents]],[1]!Table2[#Data],5,FALSE),"")</f>
        <v>0</v>
      </c>
      <c r="O577">
        <f>IFERROR(VLOOKUP(BikeData[[#This Row],[Intents]],[1]!Table2[#Data],6,FALSE),"")</f>
        <v>8</v>
      </c>
      <c r="P577">
        <f>IFERROR(VLOOKUP(BikeData[[#This Row],[Intents]],[1]!Table2[#Data],7,FALSE),"")</f>
        <v>8</v>
      </c>
      <c r="Q577" s="2" t="str">
        <f>CHOOSE(BikeData[[#This Row],[Season]],"Spring","Summer","Fall","Winter")</f>
        <v>Spring</v>
      </c>
      <c r="R577" s="2" t="str">
        <f>CHOOSE(BikeData[[#This Row],[Weathersituation]],"Clear","Mist","Light Rain","Heavy Rain")</f>
        <v>Light Rain</v>
      </c>
      <c r="S577" s="2" t="str">
        <f>TEXT(BikeData[[#This Row],[Date]],"mmm")</f>
        <v>Jan</v>
      </c>
    </row>
    <row r="578" spans="1:19" x14ac:dyDescent="0.3">
      <c r="A578">
        <v>577</v>
      </c>
      <c r="B578" s="5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 s="6">
        <f>BikeData[[#This Row],[Temperature]]</f>
        <v>0.22</v>
      </c>
      <c r="L578">
        <f>IFERROR(VLOOKUP(BikeData[[#This Row],[Intents]],[1]!Table2[#Data],3,FALSE),"")</f>
        <v>0.87</v>
      </c>
      <c r="M578">
        <f>IFERROR(VLOOKUP(BikeData[[#This Row],[Intents]],[1]!Table2[#Data],4,FALSE),"")</f>
        <v>0.29849999999999999</v>
      </c>
      <c r="N578">
        <f>IFERROR(VLOOKUP(BikeData[[#This Row],[Intents]],[1]!Table2[#Data],5,FALSE),"")</f>
        <v>1</v>
      </c>
      <c r="O578">
        <f>IFERROR(VLOOKUP(BikeData[[#This Row],[Intents]],[1]!Table2[#Data],6,FALSE),"")</f>
        <v>29</v>
      </c>
      <c r="P578">
        <f>IFERROR(VLOOKUP(BikeData[[#This Row],[Intents]],[1]!Table2[#Data],7,FALSE),"")</f>
        <v>30</v>
      </c>
      <c r="Q578" s="2" t="str">
        <f>CHOOSE(BikeData[[#This Row],[Season]],"Spring","Summer","Fall","Winter")</f>
        <v>Spring</v>
      </c>
      <c r="R578" s="2" t="str">
        <f>CHOOSE(BikeData[[#This Row],[Weathersituation]],"Clear","Mist","Light Rain","Heavy Rain")</f>
        <v>Light Rain</v>
      </c>
      <c r="S578" s="2" t="str">
        <f>TEXT(BikeData[[#This Row],[Date]],"mmm")</f>
        <v>Jan</v>
      </c>
    </row>
    <row r="579" spans="1:19" x14ac:dyDescent="0.3">
      <c r="A579">
        <v>578</v>
      </c>
      <c r="B579" s="5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 s="6">
        <f>BikeData[[#This Row],[Temperature]]</f>
        <v>0.22</v>
      </c>
      <c r="L579">
        <f>IFERROR(VLOOKUP(BikeData[[#This Row],[Intents]],[1]!Table2[#Data],3,FALSE),"")</f>
        <v>0.87</v>
      </c>
      <c r="M579">
        <f>IFERROR(VLOOKUP(BikeData[[#This Row],[Intents]],[1]!Table2[#Data],4,FALSE),"")</f>
        <v>0.29849999999999999</v>
      </c>
      <c r="N579">
        <f>IFERROR(VLOOKUP(BikeData[[#This Row],[Intents]],[1]!Table2[#Data],5,FALSE),"")</f>
        <v>3</v>
      </c>
      <c r="O579">
        <f>IFERROR(VLOOKUP(BikeData[[#This Row],[Intents]],[1]!Table2[#Data],6,FALSE),"")</f>
        <v>69</v>
      </c>
      <c r="P579">
        <f>IFERROR(VLOOKUP(BikeData[[#This Row],[Intents]],[1]!Table2[#Data],7,FALSE),"")</f>
        <v>72</v>
      </c>
      <c r="Q579" s="2" t="str">
        <f>CHOOSE(BikeData[[#This Row],[Season]],"Spring","Summer","Fall","Winter")</f>
        <v>Spring</v>
      </c>
      <c r="R579" s="2" t="str">
        <f>CHOOSE(BikeData[[#This Row],[Weathersituation]],"Clear","Mist","Light Rain","Heavy Rain")</f>
        <v>Light Rain</v>
      </c>
      <c r="S579" s="2" t="str">
        <f>TEXT(BikeData[[#This Row],[Date]],"mmm")</f>
        <v>Jan</v>
      </c>
    </row>
    <row r="580" spans="1:19" x14ac:dyDescent="0.3">
      <c r="A580">
        <v>579</v>
      </c>
      <c r="B580" s="5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 s="6">
        <f>BikeData[[#This Row],[Temperature]]</f>
        <v>0.22</v>
      </c>
      <c r="L580">
        <f>IFERROR(VLOOKUP(BikeData[[#This Row],[Intents]],[1]!Table2[#Data],3,FALSE),"")</f>
        <v>0.87</v>
      </c>
      <c r="M580">
        <f>IFERROR(VLOOKUP(BikeData[[#This Row],[Intents]],[1]!Table2[#Data],4,FALSE),"")</f>
        <v>0.29849999999999999</v>
      </c>
      <c r="N580">
        <f>IFERROR(VLOOKUP(BikeData[[#This Row],[Intents]],[1]!Table2[#Data],5,FALSE),"")</f>
        <v>3</v>
      </c>
      <c r="O580">
        <f>IFERROR(VLOOKUP(BikeData[[#This Row],[Intents]],[1]!Table2[#Data],6,FALSE),"")</f>
        <v>55</v>
      </c>
      <c r="P580">
        <f>IFERROR(VLOOKUP(BikeData[[#This Row],[Intents]],[1]!Table2[#Data],7,FALSE),"")</f>
        <v>58</v>
      </c>
      <c r="Q580" s="2" t="str">
        <f>CHOOSE(BikeData[[#This Row],[Season]],"Spring","Summer","Fall","Winter")</f>
        <v>Spring</v>
      </c>
      <c r="R580" s="2" t="str">
        <f>CHOOSE(BikeData[[#This Row],[Weathersituation]],"Clear","Mist","Light Rain","Heavy Rain")</f>
        <v>Light Rain</v>
      </c>
      <c r="S580" s="2" t="str">
        <f>TEXT(BikeData[[#This Row],[Date]],"mmm")</f>
        <v>Jan</v>
      </c>
    </row>
    <row r="581" spans="1:19" x14ac:dyDescent="0.3">
      <c r="A581">
        <v>580</v>
      </c>
      <c r="B581" s="5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 s="6">
        <f>BikeData[[#This Row],[Temperature]]</f>
        <v>0.22</v>
      </c>
      <c r="L581">
        <f>IFERROR(VLOOKUP(BikeData[[#This Row],[Intents]],[1]!Table2[#Data],3,FALSE),"")</f>
        <v>0.93</v>
      </c>
      <c r="M581">
        <f>IFERROR(VLOOKUP(BikeData[[#This Row],[Intents]],[1]!Table2[#Data],4,FALSE),"")</f>
        <v>0.28360000000000002</v>
      </c>
      <c r="N581">
        <f>IFERROR(VLOOKUP(BikeData[[#This Row],[Intents]],[1]!Table2[#Data],5,FALSE),"")</f>
        <v>2</v>
      </c>
      <c r="O581">
        <f>IFERROR(VLOOKUP(BikeData[[#This Row],[Intents]],[1]!Table2[#Data],6,FALSE),"")</f>
        <v>26</v>
      </c>
      <c r="P581">
        <f>IFERROR(VLOOKUP(BikeData[[#This Row],[Intents]],[1]!Table2[#Data],7,FALSE),"")</f>
        <v>28</v>
      </c>
      <c r="Q581" s="2" t="str">
        <f>CHOOSE(BikeData[[#This Row],[Season]],"Spring","Summer","Fall","Winter")</f>
        <v>Spring</v>
      </c>
      <c r="R581" s="2" t="str">
        <f>CHOOSE(BikeData[[#This Row],[Weathersituation]],"Clear","Mist","Light Rain","Heavy Rain")</f>
        <v>Light Rain</v>
      </c>
      <c r="S581" s="2" t="str">
        <f>TEXT(BikeData[[#This Row],[Date]],"mmm")</f>
        <v>Jan</v>
      </c>
    </row>
    <row r="582" spans="1:19" x14ac:dyDescent="0.3">
      <c r="A582">
        <v>581</v>
      </c>
      <c r="B582" s="5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 s="6">
        <f>BikeData[[#This Row],[Temperature]]</f>
        <v>0.22</v>
      </c>
      <c r="L582">
        <f>IFERROR(VLOOKUP(BikeData[[#This Row],[Intents]],[1]!Table2[#Data],3,FALSE),"")</f>
        <v>0.93</v>
      </c>
      <c r="M582">
        <f>IFERROR(VLOOKUP(BikeData[[#This Row],[Intents]],[1]!Table2[#Data],4,FALSE),"")</f>
        <v>0.32840000000000003</v>
      </c>
      <c r="N582">
        <f>IFERROR(VLOOKUP(BikeData[[#This Row],[Intents]],[1]!Table2[#Data],5,FALSE),"")</f>
        <v>6</v>
      </c>
      <c r="O582">
        <f>IFERROR(VLOOKUP(BikeData[[#This Row],[Intents]],[1]!Table2[#Data],6,FALSE),"")</f>
        <v>35</v>
      </c>
      <c r="P582">
        <f>IFERROR(VLOOKUP(BikeData[[#This Row],[Intents]],[1]!Table2[#Data],7,FALSE),"")</f>
        <v>41</v>
      </c>
      <c r="Q582" s="2" t="str">
        <f>CHOOSE(BikeData[[#This Row],[Season]],"Spring","Summer","Fall","Winter")</f>
        <v>Spring</v>
      </c>
      <c r="R582" s="2" t="str">
        <f>CHOOSE(BikeData[[#This Row],[Weathersituation]],"Clear","Mist","Light Rain","Heavy Rain")</f>
        <v>Light Rain</v>
      </c>
      <c r="S582" s="2" t="str">
        <f>TEXT(BikeData[[#This Row],[Date]],"mmm")</f>
        <v>Jan</v>
      </c>
    </row>
    <row r="583" spans="1:19" x14ac:dyDescent="0.3">
      <c r="A583">
        <v>582</v>
      </c>
      <c r="B583" s="5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 s="6">
        <f>BikeData[[#This Row],[Temperature]]</f>
        <v>0.22</v>
      </c>
      <c r="L583">
        <f>IFERROR(VLOOKUP(BikeData[[#This Row],[Intents]],[1]!Table2[#Data],3,FALSE),"")</f>
        <v>0.93</v>
      </c>
      <c r="M583">
        <f>IFERROR(VLOOKUP(BikeData[[#This Row],[Intents]],[1]!Table2[#Data],4,FALSE),"")</f>
        <v>0.32840000000000003</v>
      </c>
      <c r="N583">
        <f>IFERROR(VLOOKUP(BikeData[[#This Row],[Intents]],[1]!Table2[#Data],5,FALSE),"")</f>
        <v>7</v>
      </c>
      <c r="O583">
        <f>IFERROR(VLOOKUP(BikeData[[#This Row],[Intents]],[1]!Table2[#Data],6,FALSE),"")</f>
        <v>41</v>
      </c>
      <c r="P583">
        <f>IFERROR(VLOOKUP(BikeData[[#This Row],[Intents]],[1]!Table2[#Data],7,FALSE),"")</f>
        <v>48</v>
      </c>
      <c r="Q583" s="2" t="str">
        <f>CHOOSE(BikeData[[#This Row],[Season]],"Spring","Summer","Fall","Winter")</f>
        <v>Spring</v>
      </c>
      <c r="R583" s="2" t="str">
        <f>CHOOSE(BikeData[[#This Row],[Weathersituation]],"Clear","Mist","Light Rain","Heavy Rain")</f>
        <v>Light Rain</v>
      </c>
      <c r="S583" s="2" t="str">
        <f>TEXT(BikeData[[#This Row],[Date]],"mmm")</f>
        <v>Jan</v>
      </c>
    </row>
    <row r="584" spans="1:19" x14ac:dyDescent="0.3">
      <c r="A584">
        <v>583</v>
      </c>
      <c r="B584" s="5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 s="6">
        <f>BikeData[[#This Row],[Temperature]]</f>
        <v>0.22</v>
      </c>
      <c r="L584">
        <f>IFERROR(VLOOKUP(BikeData[[#This Row],[Intents]],[1]!Table2[#Data],3,FALSE),"")</f>
        <v>0.93</v>
      </c>
      <c r="M584">
        <f>IFERROR(VLOOKUP(BikeData[[#This Row],[Intents]],[1]!Table2[#Data],4,FALSE),"")</f>
        <v>0.32840000000000003</v>
      </c>
      <c r="N584">
        <f>IFERROR(VLOOKUP(BikeData[[#This Row],[Intents]],[1]!Table2[#Data],5,FALSE),"")</f>
        <v>4</v>
      </c>
      <c r="O584">
        <f>IFERROR(VLOOKUP(BikeData[[#This Row],[Intents]],[1]!Table2[#Data],6,FALSE),"")</f>
        <v>43</v>
      </c>
      <c r="P584">
        <f>IFERROR(VLOOKUP(BikeData[[#This Row],[Intents]],[1]!Table2[#Data],7,FALSE),"")</f>
        <v>47</v>
      </c>
      <c r="Q584" s="2" t="str">
        <f>CHOOSE(BikeData[[#This Row],[Season]],"Spring","Summer","Fall","Winter")</f>
        <v>Spring</v>
      </c>
      <c r="R584" s="2" t="str">
        <f>CHOOSE(BikeData[[#This Row],[Weathersituation]],"Clear","Mist","Light Rain","Heavy Rain")</f>
        <v>Light Rain</v>
      </c>
      <c r="S584" s="2" t="str">
        <f>TEXT(BikeData[[#This Row],[Date]],"mmm")</f>
        <v>Jan</v>
      </c>
    </row>
    <row r="585" spans="1:19" x14ac:dyDescent="0.3">
      <c r="A585">
        <v>584</v>
      </c>
      <c r="B585" s="5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 s="6">
        <f>BikeData[[#This Row],[Temperature]]</f>
        <v>0.22</v>
      </c>
      <c r="L585">
        <f>IFERROR(VLOOKUP(BikeData[[#This Row],[Intents]],[1]!Table2[#Data],3,FALSE),"")</f>
        <v>0.93</v>
      </c>
      <c r="M585">
        <f>IFERROR(VLOOKUP(BikeData[[#This Row],[Intents]],[1]!Table2[#Data],4,FALSE),"")</f>
        <v>0.35820000000000002</v>
      </c>
      <c r="N585">
        <f>IFERROR(VLOOKUP(BikeData[[#This Row],[Intents]],[1]!Table2[#Data],5,FALSE),"")</f>
        <v>0</v>
      </c>
      <c r="O585">
        <f>IFERROR(VLOOKUP(BikeData[[#This Row],[Intents]],[1]!Table2[#Data],6,FALSE),"")</f>
        <v>36</v>
      </c>
      <c r="P585">
        <f>IFERROR(VLOOKUP(BikeData[[#This Row],[Intents]],[1]!Table2[#Data],7,FALSE),"")</f>
        <v>36</v>
      </c>
      <c r="Q585" s="2" t="str">
        <f>CHOOSE(BikeData[[#This Row],[Season]],"Spring","Summer","Fall","Winter")</f>
        <v>Spring</v>
      </c>
      <c r="R585" s="2" t="str">
        <f>CHOOSE(BikeData[[#This Row],[Weathersituation]],"Clear","Mist","Light Rain","Heavy Rain")</f>
        <v>Light Rain</v>
      </c>
      <c r="S585" s="2" t="str">
        <f>TEXT(BikeData[[#This Row],[Date]],"mmm")</f>
        <v>Jan</v>
      </c>
    </row>
    <row r="586" spans="1:19" x14ac:dyDescent="0.3">
      <c r="A586">
        <v>585</v>
      </c>
      <c r="B586" s="5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 s="6">
        <f>BikeData[[#This Row],[Temperature]]</f>
        <v>0.22</v>
      </c>
      <c r="L586">
        <f>IFERROR(VLOOKUP(BikeData[[#This Row],[Intents]],[1]!Table2[#Data],3,FALSE),"")</f>
        <v>0.93</v>
      </c>
      <c r="M586">
        <f>IFERROR(VLOOKUP(BikeData[[#This Row],[Intents]],[1]!Table2[#Data],4,FALSE),"")</f>
        <v>0.4627</v>
      </c>
      <c r="N586">
        <f>IFERROR(VLOOKUP(BikeData[[#This Row],[Intents]],[1]!Table2[#Data],5,FALSE),"")</f>
        <v>1</v>
      </c>
      <c r="O586">
        <f>IFERROR(VLOOKUP(BikeData[[#This Row],[Intents]],[1]!Table2[#Data],6,FALSE),"")</f>
        <v>42</v>
      </c>
      <c r="P586">
        <f>IFERROR(VLOOKUP(BikeData[[#This Row],[Intents]],[1]!Table2[#Data],7,FALSE),"")</f>
        <v>43</v>
      </c>
      <c r="Q586" s="2" t="str">
        <f>CHOOSE(BikeData[[#This Row],[Season]],"Spring","Summer","Fall","Winter")</f>
        <v>Spring</v>
      </c>
      <c r="R586" s="2" t="str">
        <f>CHOOSE(BikeData[[#This Row],[Weathersituation]],"Clear","Mist","Light Rain","Heavy Rain")</f>
        <v>Light Rain</v>
      </c>
      <c r="S586" s="2" t="str">
        <f>TEXT(BikeData[[#This Row],[Date]],"mmm")</f>
        <v>Jan</v>
      </c>
    </row>
    <row r="587" spans="1:19" x14ac:dyDescent="0.3">
      <c r="A587">
        <v>586</v>
      </c>
      <c r="B587" s="5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 s="6">
        <f>BikeData[[#This Row],[Temperature]]</f>
        <v>0.22</v>
      </c>
      <c r="L587">
        <f>IFERROR(VLOOKUP(BikeData[[#This Row],[Intents]],[1]!Table2[#Data],3,FALSE),"")</f>
        <v>0.93</v>
      </c>
      <c r="M587">
        <f>IFERROR(VLOOKUP(BikeData[[#This Row],[Intents]],[1]!Table2[#Data],4,FALSE),"")</f>
        <v>0.32840000000000003</v>
      </c>
      <c r="N587">
        <f>IFERROR(VLOOKUP(BikeData[[#This Row],[Intents]],[1]!Table2[#Data],5,FALSE),"")</f>
        <v>1</v>
      </c>
      <c r="O587">
        <f>IFERROR(VLOOKUP(BikeData[[#This Row],[Intents]],[1]!Table2[#Data],6,FALSE),"")</f>
        <v>35</v>
      </c>
      <c r="P587">
        <f>IFERROR(VLOOKUP(BikeData[[#This Row],[Intents]],[1]!Table2[#Data],7,FALSE),"")</f>
        <v>36</v>
      </c>
      <c r="Q587" s="2" t="str">
        <f>CHOOSE(BikeData[[#This Row],[Season]],"Spring","Summer","Fall","Winter")</f>
        <v>Spring</v>
      </c>
      <c r="R587" s="2" t="str">
        <f>CHOOSE(BikeData[[#This Row],[Weathersituation]],"Clear","Mist","Light Rain","Heavy Rain")</f>
        <v>Heavy Rain</v>
      </c>
      <c r="S587" s="2" t="str">
        <f>TEXT(BikeData[[#This Row],[Date]],"mmm")</f>
        <v>Jan</v>
      </c>
    </row>
    <row r="588" spans="1:19" x14ac:dyDescent="0.3">
      <c r="A588">
        <v>587</v>
      </c>
      <c r="B588" s="5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 s="6">
        <f>BikeData[[#This Row],[Temperature]]</f>
        <v>0.2</v>
      </c>
      <c r="L588">
        <f>IFERROR(VLOOKUP(BikeData[[#This Row],[Intents]],[1]!Table2[#Data],3,FALSE),"")</f>
        <v>0.93</v>
      </c>
      <c r="M588">
        <f>IFERROR(VLOOKUP(BikeData[[#This Row],[Intents]],[1]!Table2[#Data],4,FALSE),"")</f>
        <v>0.35820000000000002</v>
      </c>
      <c r="N588">
        <f>IFERROR(VLOOKUP(BikeData[[#This Row],[Intents]],[1]!Table2[#Data],5,FALSE),"")</f>
        <v>0</v>
      </c>
      <c r="O588">
        <f>IFERROR(VLOOKUP(BikeData[[#This Row],[Intents]],[1]!Table2[#Data],6,FALSE),"")</f>
        <v>26</v>
      </c>
      <c r="P588">
        <f>IFERROR(VLOOKUP(BikeData[[#This Row],[Intents]],[1]!Table2[#Data],7,FALSE),"")</f>
        <v>26</v>
      </c>
      <c r="Q588" s="2" t="str">
        <f>CHOOSE(BikeData[[#This Row],[Season]],"Spring","Summer","Fall","Winter")</f>
        <v>Spring</v>
      </c>
      <c r="R588" s="2" t="str">
        <f>CHOOSE(BikeData[[#This Row],[Weathersituation]],"Clear","Mist","Light Rain","Heavy Rain")</f>
        <v>Light Rain</v>
      </c>
      <c r="S588" s="2" t="str">
        <f>TEXT(BikeData[[#This Row],[Date]],"mmm")</f>
        <v>Jan</v>
      </c>
    </row>
    <row r="589" spans="1:19" x14ac:dyDescent="0.3">
      <c r="A589">
        <v>588</v>
      </c>
      <c r="B589" s="5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 s="6">
        <f>BikeData[[#This Row],[Temperature]]</f>
        <v>0.22</v>
      </c>
      <c r="L589">
        <f>IFERROR(VLOOKUP(BikeData[[#This Row],[Intents]],[1]!Table2[#Data],3,FALSE),"")</f>
        <v>0.55000000000000004</v>
      </c>
      <c r="M589">
        <f>IFERROR(VLOOKUP(BikeData[[#This Row],[Intents]],[1]!Table2[#Data],4,FALSE),"")</f>
        <v>0.19400000000000001</v>
      </c>
      <c r="N589">
        <f>IFERROR(VLOOKUP(BikeData[[#This Row],[Intents]],[1]!Table2[#Data],5,FALSE),"")</f>
        <v>1</v>
      </c>
      <c r="O589">
        <f>IFERROR(VLOOKUP(BikeData[[#This Row],[Intents]],[1]!Table2[#Data],6,FALSE),"")</f>
        <v>23</v>
      </c>
      <c r="P589">
        <f>IFERROR(VLOOKUP(BikeData[[#This Row],[Intents]],[1]!Table2[#Data],7,FALSE),"")</f>
        <v>24</v>
      </c>
      <c r="Q589" s="2" t="str">
        <f>CHOOSE(BikeData[[#This Row],[Season]],"Spring","Summer","Fall","Winter")</f>
        <v>Spring</v>
      </c>
      <c r="R589" s="2" t="str">
        <f>CHOOSE(BikeData[[#This Row],[Weathersituation]],"Clear","Mist","Light Rain","Heavy Rain")</f>
        <v>Clear</v>
      </c>
      <c r="S589" s="2" t="str">
        <f>TEXT(BikeData[[#This Row],[Date]],"mmm")</f>
        <v>Jan</v>
      </c>
    </row>
    <row r="590" spans="1:19" x14ac:dyDescent="0.3">
      <c r="A590">
        <v>589</v>
      </c>
      <c r="B590" s="5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 s="6">
        <f>BikeData[[#This Row],[Temperature]]</f>
        <v>0.22</v>
      </c>
      <c r="L590">
        <f>IFERROR(VLOOKUP(BikeData[[#This Row],[Intents]],[1]!Table2[#Data],3,FALSE),"")</f>
        <v>0.55000000000000004</v>
      </c>
      <c r="M590">
        <f>IFERROR(VLOOKUP(BikeData[[#This Row],[Intents]],[1]!Table2[#Data],4,FALSE),"")</f>
        <v>0.1045</v>
      </c>
      <c r="N590">
        <f>IFERROR(VLOOKUP(BikeData[[#This Row],[Intents]],[1]!Table2[#Data],5,FALSE),"")</f>
        <v>2</v>
      </c>
      <c r="O590">
        <f>IFERROR(VLOOKUP(BikeData[[#This Row],[Intents]],[1]!Table2[#Data],6,FALSE),"")</f>
        <v>82</v>
      </c>
      <c r="P590">
        <f>IFERROR(VLOOKUP(BikeData[[#This Row],[Intents]],[1]!Table2[#Data],7,FALSE),"")</f>
        <v>84</v>
      </c>
      <c r="Q590" s="2" t="str">
        <f>CHOOSE(BikeData[[#This Row],[Season]],"Spring","Summer","Fall","Winter")</f>
        <v>Spring</v>
      </c>
      <c r="R590" s="2" t="str">
        <f>CHOOSE(BikeData[[#This Row],[Weathersituation]],"Clear","Mist","Light Rain","Heavy Rain")</f>
        <v>Clear</v>
      </c>
      <c r="S590" s="2" t="str">
        <f>TEXT(BikeData[[#This Row],[Date]],"mmm")</f>
        <v>Jan</v>
      </c>
    </row>
    <row r="591" spans="1:19" x14ac:dyDescent="0.3">
      <c r="A591">
        <v>590</v>
      </c>
      <c r="B591" s="5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 s="6">
        <f>BikeData[[#This Row],[Temperature]]</f>
        <v>0.2</v>
      </c>
      <c r="L591">
        <f>IFERROR(VLOOKUP(BikeData[[#This Row],[Intents]],[1]!Table2[#Data],3,FALSE),"")</f>
        <v>0.69</v>
      </c>
      <c r="M591">
        <f>IFERROR(VLOOKUP(BikeData[[#This Row],[Intents]],[1]!Table2[#Data],4,FALSE),"")</f>
        <v>8.9599999999999999E-2</v>
      </c>
      <c r="N591">
        <f>IFERROR(VLOOKUP(BikeData[[#This Row],[Intents]],[1]!Table2[#Data],5,FALSE),"")</f>
        <v>3</v>
      </c>
      <c r="O591">
        <f>IFERROR(VLOOKUP(BikeData[[#This Row],[Intents]],[1]!Table2[#Data],6,FALSE),"")</f>
        <v>101</v>
      </c>
      <c r="P591">
        <f>IFERROR(VLOOKUP(BikeData[[#This Row],[Intents]],[1]!Table2[#Data],7,FALSE),"")</f>
        <v>104</v>
      </c>
      <c r="Q591" s="2" t="str">
        <f>CHOOSE(BikeData[[#This Row],[Season]],"Spring","Summer","Fall","Winter")</f>
        <v>Spring</v>
      </c>
      <c r="R591" s="2" t="str">
        <f>CHOOSE(BikeData[[#This Row],[Weathersituation]],"Clear","Mist","Light Rain","Heavy Rain")</f>
        <v>Clear</v>
      </c>
      <c r="S591" s="2" t="str">
        <f>TEXT(BikeData[[#This Row],[Date]],"mmm")</f>
        <v>Jan</v>
      </c>
    </row>
    <row r="592" spans="1:19" x14ac:dyDescent="0.3">
      <c r="A592">
        <v>591</v>
      </c>
      <c r="B592" s="5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 s="6">
        <f>BikeData[[#This Row],[Temperature]]</f>
        <v>0.2</v>
      </c>
      <c r="L592">
        <f>IFERROR(VLOOKUP(BikeData[[#This Row],[Intents]],[1]!Table2[#Data],3,FALSE),"")</f>
        <v>0.69</v>
      </c>
      <c r="M592">
        <f>IFERROR(VLOOKUP(BikeData[[#This Row],[Intents]],[1]!Table2[#Data],4,FALSE),"")</f>
        <v>8.9599999999999999E-2</v>
      </c>
      <c r="N592">
        <f>IFERROR(VLOOKUP(BikeData[[#This Row],[Intents]],[1]!Table2[#Data],5,FALSE),"")</f>
        <v>3</v>
      </c>
      <c r="O592">
        <f>IFERROR(VLOOKUP(BikeData[[#This Row],[Intents]],[1]!Table2[#Data],6,FALSE),"")</f>
        <v>76</v>
      </c>
      <c r="P592">
        <f>IFERROR(VLOOKUP(BikeData[[#This Row],[Intents]],[1]!Table2[#Data],7,FALSE),"")</f>
        <v>79</v>
      </c>
      <c r="Q592" s="2" t="str">
        <f>CHOOSE(BikeData[[#This Row],[Season]],"Spring","Summer","Fall","Winter")</f>
        <v>Spring</v>
      </c>
      <c r="R592" s="2" t="str">
        <f>CHOOSE(BikeData[[#This Row],[Weathersituation]],"Clear","Mist","Light Rain","Heavy Rain")</f>
        <v>Clear</v>
      </c>
      <c r="S592" s="2" t="str">
        <f>TEXT(BikeData[[#This Row],[Date]],"mmm")</f>
        <v>Jan</v>
      </c>
    </row>
    <row r="593" spans="1:19" x14ac:dyDescent="0.3">
      <c r="A593">
        <v>592</v>
      </c>
      <c r="B593" s="5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 s="6">
        <f>BikeData[[#This Row],[Temperature]]</f>
        <v>0.18</v>
      </c>
      <c r="L593">
        <f>IFERROR(VLOOKUP(BikeData[[#This Row],[Intents]],[1]!Table2[#Data],3,FALSE),"")</f>
        <v>0.74</v>
      </c>
      <c r="M593">
        <f>IFERROR(VLOOKUP(BikeData[[#This Row],[Intents]],[1]!Table2[#Data],4,FALSE),"")</f>
        <v>8.9599999999999999E-2</v>
      </c>
      <c r="N593">
        <f>IFERROR(VLOOKUP(BikeData[[#This Row],[Intents]],[1]!Table2[#Data],5,FALSE),"")</f>
        <v>4</v>
      </c>
      <c r="O593">
        <f>IFERROR(VLOOKUP(BikeData[[#This Row],[Intents]],[1]!Table2[#Data],6,FALSE),"")</f>
        <v>55</v>
      </c>
      <c r="P593">
        <f>IFERROR(VLOOKUP(BikeData[[#This Row],[Intents]],[1]!Table2[#Data],7,FALSE),"")</f>
        <v>59</v>
      </c>
      <c r="Q593" s="2" t="str">
        <f>CHOOSE(BikeData[[#This Row],[Season]],"Spring","Summer","Fall","Winter")</f>
        <v>Spring</v>
      </c>
      <c r="R593" s="2" t="str">
        <f>CHOOSE(BikeData[[#This Row],[Weathersituation]],"Clear","Mist","Light Rain","Heavy Rain")</f>
        <v>Clear</v>
      </c>
      <c r="S593" s="2" t="str">
        <f>TEXT(BikeData[[#This Row],[Date]],"mmm")</f>
        <v>Jan</v>
      </c>
    </row>
    <row r="594" spans="1:19" x14ac:dyDescent="0.3">
      <c r="A594">
        <v>593</v>
      </c>
      <c r="B594" s="5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 s="6">
        <f>BikeData[[#This Row],[Temperature]]</f>
        <v>0.18</v>
      </c>
      <c r="L594">
        <f>IFERROR(VLOOKUP(BikeData[[#This Row],[Intents]],[1]!Table2[#Data],3,FALSE),"")</f>
        <v>0.74</v>
      </c>
      <c r="M594">
        <f>IFERROR(VLOOKUP(BikeData[[#This Row],[Intents]],[1]!Table2[#Data],4,FALSE),"")</f>
        <v>8.9599999999999999E-2</v>
      </c>
      <c r="N594">
        <f>IFERROR(VLOOKUP(BikeData[[#This Row],[Intents]],[1]!Table2[#Data],5,FALSE),"")</f>
        <v>2</v>
      </c>
      <c r="O594">
        <f>IFERROR(VLOOKUP(BikeData[[#This Row],[Intents]],[1]!Table2[#Data],6,FALSE),"")</f>
        <v>36</v>
      </c>
      <c r="P594">
        <f>IFERROR(VLOOKUP(BikeData[[#This Row],[Intents]],[1]!Table2[#Data],7,FALSE),"")</f>
        <v>38</v>
      </c>
      <c r="Q594" s="2" t="str">
        <f>CHOOSE(BikeData[[#This Row],[Season]],"Spring","Summer","Fall","Winter")</f>
        <v>Spring</v>
      </c>
      <c r="R594" s="2" t="str">
        <f>CHOOSE(BikeData[[#This Row],[Weathersituation]],"Clear","Mist","Light Rain","Heavy Rain")</f>
        <v>Clear</v>
      </c>
      <c r="S594" s="2" t="str">
        <f>TEXT(BikeData[[#This Row],[Date]],"mmm")</f>
        <v>Jan</v>
      </c>
    </row>
    <row r="595" spans="1:19" x14ac:dyDescent="0.3">
      <c r="A595">
        <v>594</v>
      </c>
      <c r="B595" s="5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 s="6">
        <f>BikeData[[#This Row],[Temperature]]</f>
        <v>0.18</v>
      </c>
      <c r="L595">
        <f>IFERROR(VLOOKUP(BikeData[[#This Row],[Intents]],[1]!Table2[#Data],3,FALSE),"")</f>
        <v>0.74</v>
      </c>
      <c r="M595">
        <f>IFERROR(VLOOKUP(BikeData[[#This Row],[Intents]],[1]!Table2[#Data],4,FALSE),"")</f>
        <v>8.9599999999999999E-2</v>
      </c>
      <c r="N595">
        <f>IFERROR(VLOOKUP(BikeData[[#This Row],[Intents]],[1]!Table2[#Data],5,FALSE),"")</f>
        <v>0</v>
      </c>
      <c r="O595">
        <f>IFERROR(VLOOKUP(BikeData[[#This Row],[Intents]],[1]!Table2[#Data],6,FALSE),"")</f>
        <v>27</v>
      </c>
      <c r="P595">
        <f>IFERROR(VLOOKUP(BikeData[[#This Row],[Intents]],[1]!Table2[#Data],7,FALSE),"")</f>
        <v>27</v>
      </c>
      <c r="Q595" s="2" t="str">
        <f>CHOOSE(BikeData[[#This Row],[Season]],"Spring","Summer","Fall","Winter")</f>
        <v>Spring</v>
      </c>
      <c r="R595" s="2" t="str">
        <f>CHOOSE(BikeData[[#This Row],[Weathersituation]],"Clear","Mist","Light Rain","Heavy Rain")</f>
        <v>Clear</v>
      </c>
      <c r="S595" s="2" t="str">
        <f>TEXT(BikeData[[#This Row],[Date]],"mmm")</f>
        <v>Jan</v>
      </c>
    </row>
    <row r="596" spans="1:19" x14ac:dyDescent="0.3">
      <c r="A596">
        <v>595</v>
      </c>
      <c r="B596" s="5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 s="6">
        <f>BikeData[[#This Row],[Temperature]]</f>
        <v>0.18</v>
      </c>
      <c r="L596">
        <f>IFERROR(VLOOKUP(BikeData[[#This Row],[Intents]],[1]!Table2[#Data],3,FALSE),"")</f>
        <v>0.8</v>
      </c>
      <c r="M596">
        <f>IFERROR(VLOOKUP(BikeData[[#This Row],[Intents]],[1]!Table2[#Data],4,FALSE),"")</f>
        <v>0.16420000000000001</v>
      </c>
      <c r="N596">
        <f>IFERROR(VLOOKUP(BikeData[[#This Row],[Intents]],[1]!Table2[#Data],5,FALSE),"")</f>
        <v>0</v>
      </c>
      <c r="O596">
        <f>IFERROR(VLOOKUP(BikeData[[#This Row],[Intents]],[1]!Table2[#Data],6,FALSE),"")</f>
        <v>16</v>
      </c>
      <c r="P596">
        <f>IFERROR(VLOOKUP(BikeData[[#This Row],[Intents]],[1]!Table2[#Data],7,FALSE),"")</f>
        <v>16</v>
      </c>
      <c r="Q596" s="2" t="str">
        <f>CHOOSE(BikeData[[#This Row],[Season]],"Spring","Summer","Fall","Winter")</f>
        <v>Spring</v>
      </c>
      <c r="R596" s="2" t="str">
        <f>CHOOSE(BikeData[[#This Row],[Weathersituation]],"Clear","Mist","Light Rain","Heavy Rain")</f>
        <v>Clear</v>
      </c>
      <c r="S596" s="2" t="str">
        <f>TEXT(BikeData[[#This Row],[Date]],"mmm")</f>
        <v>Jan</v>
      </c>
    </row>
    <row r="597" spans="1:19" x14ac:dyDescent="0.3">
      <c r="A597">
        <v>596</v>
      </c>
      <c r="B597" s="5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 s="6">
        <f>BikeData[[#This Row],[Temperature]]</f>
        <v>0.2</v>
      </c>
      <c r="L597">
        <f>IFERROR(VLOOKUP(BikeData[[#This Row],[Intents]],[1]!Table2[#Data],3,FALSE),"")</f>
        <v>0.75</v>
      </c>
      <c r="M597">
        <f>IFERROR(VLOOKUP(BikeData[[#This Row],[Intents]],[1]!Table2[#Data],4,FALSE),"")</f>
        <v>0.1343</v>
      </c>
      <c r="N597">
        <f>IFERROR(VLOOKUP(BikeData[[#This Row],[Intents]],[1]!Table2[#Data],5,FALSE),"")</f>
        <v>0</v>
      </c>
      <c r="O597">
        <f>IFERROR(VLOOKUP(BikeData[[#This Row],[Intents]],[1]!Table2[#Data],6,FALSE),"")</f>
        <v>9</v>
      </c>
      <c r="P597">
        <f>IFERROR(VLOOKUP(BikeData[[#This Row],[Intents]],[1]!Table2[#Data],7,FALSE),"")</f>
        <v>9</v>
      </c>
      <c r="Q597" s="2" t="str">
        <f>CHOOSE(BikeData[[#This Row],[Season]],"Spring","Summer","Fall","Winter")</f>
        <v>Spring</v>
      </c>
      <c r="R597" s="2" t="str">
        <f>CHOOSE(BikeData[[#This Row],[Weathersituation]],"Clear","Mist","Light Rain","Heavy Rain")</f>
        <v>Mist</v>
      </c>
      <c r="S597" s="2" t="str">
        <f>TEXT(BikeData[[#This Row],[Date]],"mmm")</f>
        <v>Jan</v>
      </c>
    </row>
    <row r="598" spans="1:19" x14ac:dyDescent="0.3">
      <c r="A598">
        <v>597</v>
      </c>
      <c r="B598" s="5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 s="6">
        <f>BikeData[[#This Row],[Temperature]]</f>
        <v>0.2</v>
      </c>
      <c r="L598">
        <f>IFERROR(VLOOKUP(BikeData[[#This Row],[Intents]],[1]!Table2[#Data],3,FALSE),"")</f>
        <v>0.75</v>
      </c>
      <c r="M598">
        <f>IFERROR(VLOOKUP(BikeData[[#This Row],[Intents]],[1]!Table2[#Data],4,FALSE),"")</f>
        <v>0.1343</v>
      </c>
      <c r="N598">
        <f>IFERROR(VLOOKUP(BikeData[[#This Row],[Intents]],[1]!Table2[#Data],5,FALSE),"")</f>
        <v>1</v>
      </c>
      <c r="O598">
        <f>IFERROR(VLOOKUP(BikeData[[#This Row],[Intents]],[1]!Table2[#Data],6,FALSE),"")</f>
        <v>2</v>
      </c>
      <c r="P598">
        <f>IFERROR(VLOOKUP(BikeData[[#This Row],[Intents]],[1]!Table2[#Data],7,FALSE),"")</f>
        <v>3</v>
      </c>
      <c r="Q598" s="2" t="str">
        <f>CHOOSE(BikeData[[#This Row],[Season]],"Spring","Summer","Fall","Winter")</f>
        <v>Spring</v>
      </c>
      <c r="R598" s="2" t="str">
        <f>CHOOSE(BikeData[[#This Row],[Weathersituation]],"Clear","Mist","Light Rain","Heavy Rain")</f>
        <v>Mist</v>
      </c>
      <c r="S598" s="2" t="str">
        <f>TEXT(BikeData[[#This Row],[Date]],"mmm")</f>
        <v>Jan</v>
      </c>
    </row>
    <row r="599" spans="1:19" x14ac:dyDescent="0.3">
      <c r="A599">
        <v>598</v>
      </c>
      <c r="B599" s="5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 s="6">
        <f>BikeData[[#This Row],[Temperature]]</f>
        <v>0.2</v>
      </c>
      <c r="L599">
        <f>IFERROR(VLOOKUP(BikeData[[#This Row],[Intents]],[1]!Table2[#Data],3,FALSE),"")</f>
        <v>0.75</v>
      </c>
      <c r="M599">
        <f>IFERROR(VLOOKUP(BikeData[[#This Row],[Intents]],[1]!Table2[#Data],4,FALSE),"")</f>
        <v>0.16420000000000001</v>
      </c>
      <c r="N599">
        <f>IFERROR(VLOOKUP(BikeData[[#This Row],[Intents]],[1]!Table2[#Data],5,FALSE),"")</f>
        <v>0</v>
      </c>
      <c r="O599">
        <f>IFERROR(VLOOKUP(BikeData[[#This Row],[Intents]],[1]!Table2[#Data],6,FALSE),"")</f>
        <v>2</v>
      </c>
      <c r="P599">
        <f>IFERROR(VLOOKUP(BikeData[[#This Row],[Intents]],[1]!Table2[#Data],7,FALSE),"")</f>
        <v>2</v>
      </c>
      <c r="Q599" s="2" t="str">
        <f>CHOOSE(BikeData[[#This Row],[Season]],"Spring","Summer","Fall","Winter")</f>
        <v>Spring</v>
      </c>
      <c r="R599" s="2" t="str">
        <f>CHOOSE(BikeData[[#This Row],[Weathersituation]],"Clear","Mist","Light Rain","Heavy Rain")</f>
        <v>Mist</v>
      </c>
      <c r="S599" s="2" t="str">
        <f>TEXT(BikeData[[#This Row],[Date]],"mmm")</f>
        <v>Jan</v>
      </c>
    </row>
    <row r="600" spans="1:19" x14ac:dyDescent="0.3">
      <c r="A600">
        <v>599</v>
      </c>
      <c r="B600" s="5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 s="6">
        <f>BikeData[[#This Row],[Temperature]]</f>
        <v>0.2</v>
      </c>
      <c r="L600">
        <f>IFERROR(VLOOKUP(BikeData[[#This Row],[Intents]],[1]!Table2[#Data],3,FALSE),"")</f>
        <v>0.75</v>
      </c>
      <c r="M600">
        <f>IFERROR(VLOOKUP(BikeData[[#This Row],[Intents]],[1]!Table2[#Data],4,FALSE),"")</f>
        <v>0.1045</v>
      </c>
      <c r="N600">
        <f>IFERROR(VLOOKUP(BikeData[[#This Row],[Intents]],[1]!Table2[#Data],5,FALSE),"")</f>
        <v>1</v>
      </c>
      <c r="O600">
        <f>IFERROR(VLOOKUP(BikeData[[#This Row],[Intents]],[1]!Table2[#Data],6,FALSE),"")</f>
        <v>0</v>
      </c>
      <c r="P600">
        <f>IFERROR(VLOOKUP(BikeData[[#This Row],[Intents]],[1]!Table2[#Data],7,FALSE),"")</f>
        <v>1</v>
      </c>
      <c r="Q600" s="2" t="str">
        <f>CHOOSE(BikeData[[#This Row],[Season]],"Spring","Summer","Fall","Winter")</f>
        <v>Spring</v>
      </c>
      <c r="R600" s="2" t="str">
        <f>CHOOSE(BikeData[[#This Row],[Weathersituation]],"Clear","Mist","Light Rain","Heavy Rain")</f>
        <v>Mist</v>
      </c>
      <c r="S600" s="2" t="str">
        <f>TEXT(BikeData[[#This Row],[Date]],"mmm")</f>
        <v>Jan</v>
      </c>
    </row>
    <row r="601" spans="1:19" x14ac:dyDescent="0.3">
      <c r="A601">
        <v>600</v>
      </c>
      <c r="B601" s="5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 s="6">
        <f>BikeData[[#This Row],[Temperature]]</f>
        <v>0.18</v>
      </c>
      <c r="L601">
        <f>IFERROR(VLOOKUP(BikeData[[#This Row],[Intents]],[1]!Table2[#Data],3,FALSE),"")</f>
        <v>0.8</v>
      </c>
      <c r="M601">
        <f>IFERROR(VLOOKUP(BikeData[[#This Row],[Intents]],[1]!Table2[#Data],4,FALSE),"")</f>
        <v>0.1045</v>
      </c>
      <c r="N601">
        <f>IFERROR(VLOOKUP(BikeData[[#This Row],[Intents]],[1]!Table2[#Data],5,FALSE),"")</f>
        <v>0</v>
      </c>
      <c r="O601">
        <f>IFERROR(VLOOKUP(BikeData[[#This Row],[Intents]],[1]!Table2[#Data],6,FALSE),"")</f>
        <v>4</v>
      </c>
      <c r="P601">
        <f>IFERROR(VLOOKUP(BikeData[[#This Row],[Intents]],[1]!Table2[#Data],7,FALSE),"")</f>
        <v>4</v>
      </c>
      <c r="Q601" s="2" t="str">
        <f>CHOOSE(BikeData[[#This Row],[Season]],"Spring","Summer","Fall","Winter")</f>
        <v>Spring</v>
      </c>
      <c r="R601" s="2" t="str">
        <f>CHOOSE(BikeData[[#This Row],[Weathersituation]],"Clear","Mist","Light Rain","Heavy Rain")</f>
        <v>Mist</v>
      </c>
      <c r="S601" s="2" t="str">
        <f>TEXT(BikeData[[#This Row],[Date]],"mmm")</f>
        <v>Jan</v>
      </c>
    </row>
    <row r="602" spans="1:19" x14ac:dyDescent="0.3">
      <c r="A602">
        <v>601</v>
      </c>
      <c r="B602" s="5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 s="6">
        <f>BikeData[[#This Row],[Temperature]]</f>
        <v>0.18</v>
      </c>
      <c r="L602">
        <f>IFERROR(VLOOKUP(BikeData[[#This Row],[Intents]],[1]!Table2[#Data],3,FALSE),"")</f>
        <v>0.8</v>
      </c>
      <c r="M602">
        <f>IFERROR(VLOOKUP(BikeData[[#This Row],[Intents]],[1]!Table2[#Data],4,FALSE),"")</f>
        <v>0.1343</v>
      </c>
      <c r="N602">
        <f>IFERROR(VLOOKUP(BikeData[[#This Row],[Intents]],[1]!Table2[#Data],5,FALSE),"")</f>
        <v>0</v>
      </c>
      <c r="O602">
        <f>IFERROR(VLOOKUP(BikeData[[#This Row],[Intents]],[1]!Table2[#Data],6,FALSE),"")</f>
        <v>16</v>
      </c>
      <c r="P602">
        <f>IFERROR(VLOOKUP(BikeData[[#This Row],[Intents]],[1]!Table2[#Data],7,FALSE),"")</f>
        <v>16</v>
      </c>
      <c r="Q602" s="2" t="str">
        <f>CHOOSE(BikeData[[#This Row],[Season]],"Spring","Summer","Fall","Winter")</f>
        <v>Spring</v>
      </c>
      <c r="R602" s="2" t="str">
        <f>CHOOSE(BikeData[[#This Row],[Weathersituation]],"Clear","Mist","Light Rain","Heavy Rain")</f>
        <v>Mist</v>
      </c>
      <c r="S602" s="2" t="str">
        <f>TEXT(BikeData[[#This Row],[Date]],"mmm")</f>
        <v>Jan</v>
      </c>
    </row>
    <row r="603" spans="1:19" x14ac:dyDescent="0.3">
      <c r="A603">
        <v>602</v>
      </c>
      <c r="B603" s="5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 s="6">
        <f>BikeData[[#This Row],[Temperature]]</f>
        <v>0.16</v>
      </c>
      <c r="L603">
        <f>IFERROR(VLOOKUP(BikeData[[#This Row],[Intents]],[1]!Table2[#Data],3,FALSE),"")</f>
        <v>0.86</v>
      </c>
      <c r="M603">
        <f>IFERROR(VLOOKUP(BikeData[[#This Row],[Intents]],[1]!Table2[#Data],4,FALSE),"")</f>
        <v>8.9599999999999999E-2</v>
      </c>
      <c r="N603">
        <f>IFERROR(VLOOKUP(BikeData[[#This Row],[Intents]],[1]!Table2[#Data],5,FALSE),"")</f>
        <v>2</v>
      </c>
      <c r="O603">
        <f>IFERROR(VLOOKUP(BikeData[[#This Row],[Intents]],[1]!Table2[#Data],6,FALSE),"")</f>
        <v>58</v>
      </c>
      <c r="P603">
        <f>IFERROR(VLOOKUP(BikeData[[#This Row],[Intents]],[1]!Table2[#Data],7,FALSE),"")</f>
        <v>60</v>
      </c>
      <c r="Q603" s="2" t="str">
        <f>CHOOSE(BikeData[[#This Row],[Season]],"Spring","Summer","Fall","Winter")</f>
        <v>Spring</v>
      </c>
      <c r="R603" s="2" t="str">
        <f>CHOOSE(BikeData[[#This Row],[Weathersituation]],"Clear","Mist","Light Rain","Heavy Rain")</f>
        <v>Mist</v>
      </c>
      <c r="S603" s="2" t="str">
        <f>TEXT(BikeData[[#This Row],[Date]],"mmm")</f>
        <v>Jan</v>
      </c>
    </row>
    <row r="604" spans="1:19" x14ac:dyDescent="0.3">
      <c r="A604">
        <v>603</v>
      </c>
      <c r="B604" s="5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 s="6">
        <f>BikeData[[#This Row],[Temperature]]</f>
        <v>0.16</v>
      </c>
      <c r="L604">
        <f>IFERROR(VLOOKUP(BikeData[[#This Row],[Intents]],[1]!Table2[#Data],3,FALSE),"")</f>
        <v>0.86</v>
      </c>
      <c r="M604">
        <f>IFERROR(VLOOKUP(BikeData[[#This Row],[Intents]],[1]!Table2[#Data],4,FALSE),"")</f>
        <v>8.9599999999999999E-2</v>
      </c>
      <c r="N604">
        <f>IFERROR(VLOOKUP(BikeData[[#This Row],[Intents]],[1]!Table2[#Data],5,FALSE),"")</f>
        <v>2</v>
      </c>
      <c r="O604">
        <f>IFERROR(VLOOKUP(BikeData[[#This Row],[Intents]],[1]!Table2[#Data],6,FALSE),"")</f>
        <v>155</v>
      </c>
      <c r="P604">
        <f>IFERROR(VLOOKUP(BikeData[[#This Row],[Intents]],[1]!Table2[#Data],7,FALSE),"")</f>
        <v>157</v>
      </c>
      <c r="Q604" s="2" t="str">
        <f>CHOOSE(BikeData[[#This Row],[Season]],"Spring","Summer","Fall","Winter")</f>
        <v>Spring</v>
      </c>
      <c r="R604" s="2" t="str">
        <f>CHOOSE(BikeData[[#This Row],[Weathersituation]],"Clear","Mist","Light Rain","Heavy Rain")</f>
        <v>Mist</v>
      </c>
      <c r="S604" s="2" t="str">
        <f>TEXT(BikeData[[#This Row],[Date]],"mmm")</f>
        <v>Jan</v>
      </c>
    </row>
    <row r="605" spans="1:19" x14ac:dyDescent="0.3">
      <c r="A605">
        <v>604</v>
      </c>
      <c r="B605" s="5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 s="6">
        <f>BikeData[[#This Row],[Temperature]]</f>
        <v>0.18</v>
      </c>
      <c r="L605">
        <f>IFERROR(VLOOKUP(BikeData[[#This Row],[Intents]],[1]!Table2[#Data],3,FALSE),"")</f>
        <v>0.86</v>
      </c>
      <c r="M605">
        <f>IFERROR(VLOOKUP(BikeData[[#This Row],[Intents]],[1]!Table2[#Data],4,FALSE),"")</f>
        <v>8.9599999999999999E-2</v>
      </c>
      <c r="N605">
        <f>IFERROR(VLOOKUP(BikeData[[#This Row],[Intents]],[1]!Table2[#Data],5,FALSE),"")</f>
        <v>6</v>
      </c>
      <c r="O605">
        <f>IFERROR(VLOOKUP(BikeData[[#This Row],[Intents]],[1]!Table2[#Data],6,FALSE),"")</f>
        <v>95</v>
      </c>
      <c r="P605">
        <f>IFERROR(VLOOKUP(BikeData[[#This Row],[Intents]],[1]!Table2[#Data],7,FALSE),"")</f>
        <v>101</v>
      </c>
      <c r="Q605" s="2" t="str">
        <f>CHOOSE(BikeData[[#This Row],[Season]],"Spring","Summer","Fall","Winter")</f>
        <v>Spring</v>
      </c>
      <c r="R605" s="2" t="str">
        <f>CHOOSE(BikeData[[#This Row],[Weathersituation]],"Clear","Mist","Light Rain","Heavy Rain")</f>
        <v>Light Rain</v>
      </c>
      <c r="S605" s="2" t="str">
        <f>TEXT(BikeData[[#This Row],[Date]],"mmm")</f>
        <v>Jan</v>
      </c>
    </row>
    <row r="606" spans="1:19" x14ac:dyDescent="0.3">
      <c r="A606">
        <v>605</v>
      </c>
      <c r="B606" s="5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 s="6">
        <f>BikeData[[#This Row],[Temperature]]</f>
        <v>0.18</v>
      </c>
      <c r="L606">
        <f>IFERROR(VLOOKUP(BikeData[[#This Row],[Intents]],[1]!Table2[#Data],3,FALSE),"")</f>
        <v>0.86</v>
      </c>
      <c r="M606">
        <f>IFERROR(VLOOKUP(BikeData[[#This Row],[Intents]],[1]!Table2[#Data],4,FALSE),"")</f>
        <v>0.1045</v>
      </c>
      <c r="N606">
        <f>IFERROR(VLOOKUP(BikeData[[#This Row],[Intents]],[1]!Table2[#Data],5,FALSE),"")</f>
        <v>0</v>
      </c>
      <c r="O606">
        <f>IFERROR(VLOOKUP(BikeData[[#This Row],[Intents]],[1]!Table2[#Data],6,FALSE),"")</f>
        <v>49</v>
      </c>
      <c r="P606">
        <f>IFERROR(VLOOKUP(BikeData[[#This Row],[Intents]],[1]!Table2[#Data],7,FALSE),"")</f>
        <v>49</v>
      </c>
      <c r="Q606" s="2" t="str">
        <f>CHOOSE(BikeData[[#This Row],[Season]],"Spring","Summer","Fall","Winter")</f>
        <v>Spring</v>
      </c>
      <c r="R606" s="2" t="str">
        <f>CHOOSE(BikeData[[#This Row],[Weathersituation]],"Clear","Mist","Light Rain","Heavy Rain")</f>
        <v>Light Rain</v>
      </c>
      <c r="S606" s="2" t="str">
        <f>TEXT(BikeData[[#This Row],[Date]],"mmm")</f>
        <v>Jan</v>
      </c>
    </row>
    <row r="607" spans="1:19" x14ac:dyDescent="0.3">
      <c r="A607">
        <v>606</v>
      </c>
      <c r="B607" s="5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 s="6">
        <f>BikeData[[#This Row],[Temperature]]</f>
        <v>0.18</v>
      </c>
      <c r="L607">
        <f>IFERROR(VLOOKUP(BikeData[[#This Row],[Intents]],[1]!Table2[#Data],3,FALSE),"")</f>
        <v>0.93</v>
      </c>
      <c r="M607">
        <f>IFERROR(VLOOKUP(BikeData[[#This Row],[Intents]],[1]!Table2[#Data],4,FALSE),"")</f>
        <v>0.1045</v>
      </c>
      <c r="N607">
        <f>IFERROR(VLOOKUP(BikeData[[#This Row],[Intents]],[1]!Table2[#Data],5,FALSE),"")</f>
        <v>0</v>
      </c>
      <c r="O607">
        <f>IFERROR(VLOOKUP(BikeData[[#This Row],[Intents]],[1]!Table2[#Data],6,FALSE),"")</f>
        <v>30</v>
      </c>
      <c r="P607">
        <f>IFERROR(VLOOKUP(BikeData[[#This Row],[Intents]],[1]!Table2[#Data],7,FALSE),"")</f>
        <v>30</v>
      </c>
      <c r="Q607" s="2" t="str">
        <f>CHOOSE(BikeData[[#This Row],[Season]],"Spring","Summer","Fall","Winter")</f>
        <v>Spring</v>
      </c>
      <c r="R607" s="2" t="str">
        <f>CHOOSE(BikeData[[#This Row],[Weathersituation]],"Clear","Mist","Light Rain","Heavy Rain")</f>
        <v>Light Rain</v>
      </c>
      <c r="S607" s="2" t="str">
        <f>TEXT(BikeData[[#This Row],[Date]],"mmm")</f>
        <v>Jan</v>
      </c>
    </row>
    <row r="608" spans="1:19" x14ac:dyDescent="0.3">
      <c r="A608">
        <v>607</v>
      </c>
      <c r="B608" s="5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 s="6">
        <f>BikeData[[#This Row],[Temperature]]</f>
        <v>0.18</v>
      </c>
      <c r="L608">
        <f>IFERROR(VLOOKUP(BikeData[[#This Row],[Intents]],[1]!Table2[#Data],3,FALSE),"")</f>
        <v>0.93</v>
      </c>
      <c r="M608">
        <f>IFERROR(VLOOKUP(BikeData[[#This Row],[Intents]],[1]!Table2[#Data],4,FALSE),"")</f>
        <v>0.1045</v>
      </c>
      <c r="N608">
        <f>IFERROR(VLOOKUP(BikeData[[#This Row],[Intents]],[1]!Table2[#Data],5,FALSE),"")</f>
        <v>1</v>
      </c>
      <c r="O608">
        <f>IFERROR(VLOOKUP(BikeData[[#This Row],[Intents]],[1]!Table2[#Data],6,FALSE),"")</f>
        <v>28</v>
      </c>
      <c r="P608">
        <f>IFERROR(VLOOKUP(BikeData[[#This Row],[Intents]],[1]!Table2[#Data],7,FALSE),"")</f>
        <v>29</v>
      </c>
      <c r="Q608" s="2" t="str">
        <f>CHOOSE(BikeData[[#This Row],[Season]],"Spring","Summer","Fall","Winter")</f>
        <v>Spring</v>
      </c>
      <c r="R608" s="2" t="str">
        <f>CHOOSE(BikeData[[#This Row],[Weathersituation]],"Clear","Mist","Light Rain","Heavy Rain")</f>
        <v>Light Rain</v>
      </c>
      <c r="S608" s="2" t="str">
        <f>TEXT(BikeData[[#This Row],[Date]],"mmm")</f>
        <v>Jan</v>
      </c>
    </row>
    <row r="609" spans="1:19" x14ac:dyDescent="0.3">
      <c r="A609">
        <v>608</v>
      </c>
      <c r="B609" s="5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 s="6">
        <f>BikeData[[#This Row],[Temperature]]</f>
        <v>0.18</v>
      </c>
      <c r="L609">
        <f>IFERROR(VLOOKUP(BikeData[[#This Row],[Intents]],[1]!Table2[#Data],3,FALSE),"")</f>
        <v>0.93</v>
      </c>
      <c r="M609">
        <f>IFERROR(VLOOKUP(BikeData[[#This Row],[Intents]],[1]!Table2[#Data],4,FALSE),"")</f>
        <v>0.1045</v>
      </c>
      <c r="N609">
        <f>IFERROR(VLOOKUP(BikeData[[#This Row],[Intents]],[1]!Table2[#Data],5,FALSE),"")</f>
        <v>0</v>
      </c>
      <c r="O609">
        <f>IFERROR(VLOOKUP(BikeData[[#This Row],[Intents]],[1]!Table2[#Data],6,FALSE),"")</f>
        <v>31</v>
      </c>
      <c r="P609">
        <f>IFERROR(VLOOKUP(BikeData[[#This Row],[Intents]],[1]!Table2[#Data],7,FALSE),"")</f>
        <v>31</v>
      </c>
      <c r="Q609" s="2" t="str">
        <f>CHOOSE(BikeData[[#This Row],[Season]],"Spring","Summer","Fall","Winter")</f>
        <v>Spring</v>
      </c>
      <c r="R609" s="2" t="str">
        <f>CHOOSE(BikeData[[#This Row],[Weathersituation]],"Clear","Mist","Light Rain","Heavy Rain")</f>
        <v>Light Rain</v>
      </c>
      <c r="S609" s="2" t="str">
        <f>TEXT(BikeData[[#This Row],[Date]],"mmm")</f>
        <v>Jan</v>
      </c>
    </row>
    <row r="610" spans="1:19" x14ac:dyDescent="0.3">
      <c r="A610">
        <v>609</v>
      </c>
      <c r="B610" s="5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 s="6">
        <f>BikeData[[#This Row],[Temperature]]</f>
        <v>0.22</v>
      </c>
      <c r="L610">
        <f>IFERROR(VLOOKUP(BikeData[[#This Row],[Intents]],[1]!Table2[#Data],3,FALSE),"")</f>
        <v>0.8</v>
      </c>
      <c r="M610">
        <f>IFERROR(VLOOKUP(BikeData[[#This Row],[Intents]],[1]!Table2[#Data],4,FALSE),"")</f>
        <v>0</v>
      </c>
      <c r="N610">
        <f>IFERROR(VLOOKUP(BikeData[[#This Row],[Intents]],[1]!Table2[#Data],5,FALSE),"")</f>
        <v>2</v>
      </c>
      <c r="O610">
        <f>IFERROR(VLOOKUP(BikeData[[#This Row],[Intents]],[1]!Table2[#Data],6,FALSE),"")</f>
        <v>36</v>
      </c>
      <c r="P610">
        <f>IFERROR(VLOOKUP(BikeData[[#This Row],[Intents]],[1]!Table2[#Data],7,FALSE),"")</f>
        <v>38</v>
      </c>
      <c r="Q610" s="2" t="str">
        <f>CHOOSE(BikeData[[#This Row],[Season]],"Spring","Summer","Fall","Winter")</f>
        <v>Spring</v>
      </c>
      <c r="R610" s="2" t="str">
        <f>CHOOSE(BikeData[[#This Row],[Weathersituation]],"Clear","Mist","Light Rain","Heavy Rain")</f>
        <v>Light Rain</v>
      </c>
      <c r="S610" s="2" t="str">
        <f>TEXT(BikeData[[#This Row],[Date]],"mmm")</f>
        <v>Jan</v>
      </c>
    </row>
    <row r="611" spans="1:19" x14ac:dyDescent="0.3">
      <c r="A611">
        <v>610</v>
      </c>
      <c r="B611" s="5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 s="6">
        <f>BikeData[[#This Row],[Temperature]]</f>
        <v>0.2</v>
      </c>
      <c r="L611">
        <f>IFERROR(VLOOKUP(BikeData[[#This Row],[Intents]],[1]!Table2[#Data],3,FALSE),"")</f>
        <v>0.86</v>
      </c>
      <c r="M611">
        <f>IFERROR(VLOOKUP(BikeData[[#This Row],[Intents]],[1]!Table2[#Data],4,FALSE),"")</f>
        <v>0</v>
      </c>
      <c r="N611">
        <f>IFERROR(VLOOKUP(BikeData[[#This Row],[Intents]],[1]!Table2[#Data],5,FALSE),"")</f>
        <v>1</v>
      </c>
      <c r="O611">
        <f>IFERROR(VLOOKUP(BikeData[[#This Row],[Intents]],[1]!Table2[#Data],6,FALSE),"")</f>
        <v>40</v>
      </c>
      <c r="P611">
        <f>IFERROR(VLOOKUP(BikeData[[#This Row],[Intents]],[1]!Table2[#Data],7,FALSE),"")</f>
        <v>41</v>
      </c>
      <c r="Q611" s="2" t="str">
        <f>CHOOSE(BikeData[[#This Row],[Season]],"Spring","Summer","Fall","Winter")</f>
        <v>Spring</v>
      </c>
      <c r="R611" s="2" t="str">
        <f>CHOOSE(BikeData[[#This Row],[Weathersituation]],"Clear","Mist","Light Rain","Heavy Rain")</f>
        <v>Mist</v>
      </c>
      <c r="S611" s="2" t="str">
        <f>TEXT(BikeData[[#This Row],[Date]],"mmm")</f>
        <v>Jan</v>
      </c>
    </row>
    <row r="612" spans="1:19" x14ac:dyDescent="0.3">
      <c r="A612">
        <v>611</v>
      </c>
      <c r="B612" s="5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 s="4">
        <v>0.2727</v>
      </c>
      <c r="L612" s="3">
        <v>0.8</v>
      </c>
      <c r="M612" s="3">
        <v>0</v>
      </c>
      <c r="N612" s="3">
        <v>10</v>
      </c>
      <c r="O612" s="3">
        <v>70</v>
      </c>
      <c r="P612" s="3">
        <v>80</v>
      </c>
      <c r="Q612" s="2" t="s">
        <v>2</v>
      </c>
      <c r="R612" s="2" t="s">
        <v>1</v>
      </c>
      <c r="S612" s="2" t="s">
        <v>5</v>
      </c>
    </row>
    <row r="613" spans="1:19" x14ac:dyDescent="0.3">
      <c r="A613">
        <v>612</v>
      </c>
      <c r="B613" s="5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 s="4">
        <v>0.2424</v>
      </c>
      <c r="L613" s="3">
        <v>0.75</v>
      </c>
      <c r="M613" s="3">
        <v>0.1343</v>
      </c>
      <c r="N613" s="3">
        <v>2</v>
      </c>
      <c r="O613" s="3">
        <v>147</v>
      </c>
      <c r="P613" s="3">
        <v>149</v>
      </c>
      <c r="Q613" s="2" t="s">
        <v>2</v>
      </c>
      <c r="R613" s="2" t="s">
        <v>1</v>
      </c>
      <c r="S613" s="2" t="s">
        <v>5</v>
      </c>
    </row>
    <row r="614" spans="1:19" x14ac:dyDescent="0.3">
      <c r="A614">
        <v>613</v>
      </c>
      <c r="B614" s="5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 s="4">
        <v>0.2273</v>
      </c>
      <c r="L614" s="3">
        <v>0.75</v>
      </c>
      <c r="M614" s="3">
        <v>0.19400000000000001</v>
      </c>
      <c r="N614" s="3">
        <v>2</v>
      </c>
      <c r="O614" s="3">
        <v>107</v>
      </c>
      <c r="P614" s="3">
        <v>109</v>
      </c>
      <c r="Q614" s="2" t="s">
        <v>2</v>
      </c>
      <c r="R614" s="2" t="s">
        <v>1</v>
      </c>
      <c r="S614" s="2" t="s">
        <v>5</v>
      </c>
    </row>
    <row r="615" spans="1:19" x14ac:dyDescent="0.3">
      <c r="A615">
        <v>614</v>
      </c>
      <c r="B615" s="5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 s="4">
        <v>0.2424</v>
      </c>
      <c r="L615" s="3">
        <v>0.75</v>
      </c>
      <c r="M615" s="3">
        <v>0.1343</v>
      </c>
      <c r="N615" s="3">
        <v>5</v>
      </c>
      <c r="O615" s="3">
        <v>84</v>
      </c>
      <c r="P615" s="3">
        <v>89</v>
      </c>
      <c r="Q615" s="2" t="s">
        <v>2</v>
      </c>
      <c r="R615" s="2" t="s">
        <v>3</v>
      </c>
      <c r="S615" s="2" t="s">
        <v>5</v>
      </c>
    </row>
    <row r="616" spans="1:19" x14ac:dyDescent="0.3">
      <c r="A616">
        <v>615</v>
      </c>
      <c r="B616" s="5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 s="4">
        <v>0.2273</v>
      </c>
      <c r="L616" s="3">
        <v>0.7</v>
      </c>
      <c r="M616" s="3">
        <v>0.19400000000000001</v>
      </c>
      <c r="N616" s="3">
        <v>1</v>
      </c>
      <c r="O616" s="3">
        <v>61</v>
      </c>
      <c r="P616" s="3">
        <v>62</v>
      </c>
      <c r="Q616" s="2" t="s">
        <v>2</v>
      </c>
      <c r="R616" s="2" t="s">
        <v>3</v>
      </c>
      <c r="S616" s="2" t="s">
        <v>5</v>
      </c>
    </row>
    <row r="617" spans="1:19" x14ac:dyDescent="0.3">
      <c r="A617">
        <v>616</v>
      </c>
      <c r="B617" s="5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 s="4">
        <v>0.2273</v>
      </c>
      <c r="L617" s="3">
        <v>0.75</v>
      </c>
      <c r="M617" s="3">
        <v>0.1343</v>
      </c>
      <c r="N617" s="3">
        <v>1</v>
      </c>
      <c r="O617" s="3">
        <v>57</v>
      </c>
      <c r="P617" s="3">
        <v>58</v>
      </c>
      <c r="Q617" s="2" t="s">
        <v>2</v>
      </c>
      <c r="R617" s="2" t="s">
        <v>3</v>
      </c>
      <c r="S617" s="2" t="s">
        <v>5</v>
      </c>
    </row>
    <row r="618" spans="1:19" x14ac:dyDescent="0.3">
      <c r="A618">
        <v>617</v>
      </c>
      <c r="B618" s="5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 s="4">
        <v>0.21210000000000001</v>
      </c>
      <c r="L618" s="3">
        <v>0.65</v>
      </c>
      <c r="M618" s="3">
        <v>0.35820000000000002</v>
      </c>
      <c r="N618" s="3">
        <v>0</v>
      </c>
      <c r="O618" s="3">
        <v>26</v>
      </c>
      <c r="P618" s="3">
        <v>26</v>
      </c>
      <c r="Q618" s="2" t="s">
        <v>2</v>
      </c>
      <c r="R618" s="2" t="s">
        <v>1</v>
      </c>
      <c r="S618" s="2" t="s">
        <v>5</v>
      </c>
    </row>
    <row r="619" spans="1:19" x14ac:dyDescent="0.3">
      <c r="A619">
        <v>618</v>
      </c>
      <c r="B619" s="5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 s="4">
        <v>0.2273</v>
      </c>
      <c r="L619" s="3">
        <v>0.6</v>
      </c>
      <c r="M619" s="3">
        <v>0.22389999999999999</v>
      </c>
      <c r="N619" s="3">
        <v>1</v>
      </c>
      <c r="O619" s="3">
        <v>22</v>
      </c>
      <c r="P619" s="3">
        <v>23</v>
      </c>
      <c r="Q619" s="2" t="s">
        <v>2</v>
      </c>
      <c r="R619" s="2" t="s">
        <v>1</v>
      </c>
      <c r="S619" s="2" t="s">
        <v>5</v>
      </c>
    </row>
    <row r="620" spans="1:19" x14ac:dyDescent="0.3">
      <c r="A620">
        <v>619</v>
      </c>
      <c r="B620" s="5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 s="4">
        <v>0.19700000000000001</v>
      </c>
      <c r="L620" s="3">
        <v>0.64</v>
      </c>
      <c r="M620" s="3">
        <v>0.35820000000000002</v>
      </c>
      <c r="N620" s="3">
        <v>2</v>
      </c>
      <c r="O620" s="3">
        <v>26</v>
      </c>
      <c r="P620" s="3">
        <v>28</v>
      </c>
      <c r="Q620" s="2" t="s">
        <v>2</v>
      </c>
      <c r="R620" s="2" t="s">
        <v>1</v>
      </c>
      <c r="S620" s="2" t="s">
        <v>5</v>
      </c>
    </row>
    <row r="621" spans="1:19" x14ac:dyDescent="0.3">
      <c r="A621">
        <v>620</v>
      </c>
      <c r="B621" s="5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 s="4">
        <v>0.2273</v>
      </c>
      <c r="L621" s="3">
        <v>0.64</v>
      </c>
      <c r="M621" s="3">
        <v>0.19400000000000001</v>
      </c>
      <c r="N621" s="3">
        <v>0</v>
      </c>
      <c r="O621" s="3">
        <v>20</v>
      </c>
      <c r="P621" s="3">
        <v>20</v>
      </c>
      <c r="Q621" s="2" t="s">
        <v>2</v>
      </c>
      <c r="R621" s="2" t="s">
        <v>1</v>
      </c>
      <c r="S621" s="2" t="s">
        <v>5</v>
      </c>
    </row>
    <row r="622" spans="1:19" x14ac:dyDescent="0.3">
      <c r="A622">
        <v>621</v>
      </c>
      <c r="B622" s="5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 s="4">
        <v>0.2273</v>
      </c>
      <c r="L622" s="3">
        <v>0.64</v>
      </c>
      <c r="M622" s="3">
        <v>0.16420000000000001</v>
      </c>
      <c r="N622" s="3">
        <v>0</v>
      </c>
      <c r="O622" s="3">
        <v>15</v>
      </c>
      <c r="P622" s="3">
        <v>15</v>
      </c>
      <c r="Q622" s="2" t="s">
        <v>2</v>
      </c>
      <c r="R622" s="2" t="s">
        <v>1</v>
      </c>
      <c r="S622" s="2" t="s">
        <v>5</v>
      </c>
    </row>
    <row r="623" spans="1:19" x14ac:dyDescent="0.3">
      <c r="A623">
        <v>622</v>
      </c>
      <c r="B623" s="5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 s="4">
        <v>0.21210000000000001</v>
      </c>
      <c r="L623" s="3">
        <v>0.64</v>
      </c>
      <c r="M623" s="3">
        <v>0.1343</v>
      </c>
      <c r="N623" s="3">
        <v>3</v>
      </c>
      <c r="O623" s="3">
        <v>5</v>
      </c>
      <c r="P623" s="3">
        <v>8</v>
      </c>
      <c r="Q623" s="2" t="s">
        <v>2</v>
      </c>
      <c r="R623" s="2" t="s">
        <v>1</v>
      </c>
      <c r="S623" s="2" t="s">
        <v>5</v>
      </c>
    </row>
    <row r="624" spans="1:19" x14ac:dyDescent="0.3">
      <c r="A624">
        <v>623</v>
      </c>
      <c r="B624" s="5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 s="4">
        <v>0.18179999999999999</v>
      </c>
      <c r="L624" s="3">
        <v>0.69</v>
      </c>
      <c r="M624" s="3">
        <v>0.1045</v>
      </c>
      <c r="N624" s="3">
        <v>1</v>
      </c>
      <c r="O624" s="3">
        <v>2</v>
      </c>
      <c r="P624" s="3">
        <v>3</v>
      </c>
      <c r="Q624" s="2" t="s">
        <v>2</v>
      </c>
      <c r="R624" s="2" t="s">
        <v>1</v>
      </c>
      <c r="S624" s="2" t="s">
        <v>5</v>
      </c>
    </row>
    <row r="625" spans="1:19" x14ac:dyDescent="0.3">
      <c r="A625">
        <v>624</v>
      </c>
      <c r="B625" s="5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 s="4">
        <v>0.18179999999999999</v>
      </c>
      <c r="L625" s="3">
        <v>0.64</v>
      </c>
      <c r="M625" s="3">
        <v>0.1343</v>
      </c>
      <c r="N625" s="3">
        <v>0</v>
      </c>
      <c r="O625" s="3">
        <v>2</v>
      </c>
      <c r="P625" s="3">
        <v>2</v>
      </c>
      <c r="Q625" s="2" t="s">
        <v>2</v>
      </c>
      <c r="R625" s="2" t="s">
        <v>1</v>
      </c>
      <c r="S625" s="2" t="s">
        <v>5</v>
      </c>
    </row>
    <row r="626" spans="1:19" x14ac:dyDescent="0.3">
      <c r="A626">
        <v>625</v>
      </c>
      <c r="B626" s="5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 s="4">
        <v>0.18179999999999999</v>
      </c>
      <c r="L626" s="3">
        <v>0.59</v>
      </c>
      <c r="M626" s="3">
        <v>0.1045</v>
      </c>
      <c r="N626" s="3">
        <v>1</v>
      </c>
      <c r="O626" s="3">
        <v>4</v>
      </c>
      <c r="P626" s="3">
        <v>5</v>
      </c>
      <c r="Q626" s="2" t="s">
        <v>2</v>
      </c>
      <c r="R626" s="2" t="s">
        <v>1</v>
      </c>
      <c r="S626" s="2" t="s">
        <v>5</v>
      </c>
    </row>
    <row r="627" spans="1:19" x14ac:dyDescent="0.3">
      <c r="A627">
        <v>626</v>
      </c>
      <c r="B627" s="5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 s="4">
        <v>0.19700000000000001</v>
      </c>
      <c r="L627" s="3">
        <v>0.55000000000000004</v>
      </c>
      <c r="M627" s="3">
        <v>0.16420000000000001</v>
      </c>
      <c r="N627" s="3">
        <v>3</v>
      </c>
      <c r="O627" s="3">
        <v>31</v>
      </c>
      <c r="P627" s="3">
        <v>34</v>
      </c>
      <c r="Q627" s="2" t="s">
        <v>2</v>
      </c>
      <c r="R627" s="2" t="s">
        <v>1</v>
      </c>
      <c r="S627" s="2" t="s">
        <v>5</v>
      </c>
    </row>
    <row r="628" spans="1:19" x14ac:dyDescent="0.3">
      <c r="A628">
        <v>627</v>
      </c>
      <c r="B628" s="5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 s="4">
        <v>0.21210000000000001</v>
      </c>
      <c r="L628" s="3">
        <v>0.59</v>
      </c>
      <c r="M628" s="3">
        <v>8.9599999999999999E-2</v>
      </c>
      <c r="N628" s="3">
        <v>0</v>
      </c>
      <c r="O628" s="3">
        <v>34</v>
      </c>
      <c r="P628" s="3">
        <v>34</v>
      </c>
      <c r="Q628" s="2" t="s">
        <v>2</v>
      </c>
      <c r="R628" s="2" t="s">
        <v>1</v>
      </c>
      <c r="S628" s="2" t="s">
        <v>5</v>
      </c>
    </row>
    <row r="629" spans="1:19" x14ac:dyDescent="0.3">
      <c r="A629">
        <v>628</v>
      </c>
      <c r="B629" s="5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 s="4">
        <v>0.21210000000000001</v>
      </c>
      <c r="L629" s="3">
        <v>0.64</v>
      </c>
      <c r="M629" s="3">
        <v>0.1045</v>
      </c>
      <c r="N629" s="3">
        <v>4</v>
      </c>
      <c r="O629" s="3">
        <v>51</v>
      </c>
      <c r="P629" s="3">
        <v>55</v>
      </c>
      <c r="Q629" s="2" t="s">
        <v>2</v>
      </c>
      <c r="R629" s="2" t="s">
        <v>3</v>
      </c>
      <c r="S629" s="2" t="s">
        <v>5</v>
      </c>
    </row>
    <row r="630" spans="1:19" x14ac:dyDescent="0.3">
      <c r="A630">
        <v>629</v>
      </c>
      <c r="B630" s="5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 s="4">
        <v>0.19700000000000001</v>
      </c>
      <c r="L630" s="3">
        <v>0.64</v>
      </c>
      <c r="M630" s="3">
        <v>0.1343</v>
      </c>
      <c r="N630" s="3">
        <v>4</v>
      </c>
      <c r="O630" s="3">
        <v>60</v>
      </c>
      <c r="P630" s="3">
        <v>64</v>
      </c>
      <c r="Q630" s="2" t="s">
        <v>2</v>
      </c>
      <c r="R630" s="2" t="s">
        <v>3</v>
      </c>
      <c r="S630" s="2" t="s">
        <v>5</v>
      </c>
    </row>
    <row r="631" spans="1:19" x14ac:dyDescent="0.3">
      <c r="A631">
        <v>630</v>
      </c>
      <c r="B631" s="5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 s="4">
        <v>0.19700000000000001</v>
      </c>
      <c r="L631" s="3">
        <v>0.59</v>
      </c>
      <c r="M631" s="3">
        <v>0.19400000000000001</v>
      </c>
      <c r="N631" s="3">
        <v>12</v>
      </c>
      <c r="O631" s="3">
        <v>66</v>
      </c>
      <c r="P631" s="3">
        <v>78</v>
      </c>
      <c r="Q631" s="2" t="s">
        <v>2</v>
      </c>
      <c r="R631" s="2" t="s">
        <v>3</v>
      </c>
      <c r="S631" s="2" t="s">
        <v>5</v>
      </c>
    </row>
    <row r="632" spans="1:19" x14ac:dyDescent="0.3">
      <c r="A632">
        <v>631</v>
      </c>
      <c r="B632" s="5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 s="4">
        <v>0.2273</v>
      </c>
      <c r="L632" s="3">
        <v>0.55000000000000004</v>
      </c>
      <c r="M632" s="3">
        <v>0.16420000000000001</v>
      </c>
      <c r="N632" s="3">
        <v>9</v>
      </c>
      <c r="O632" s="3">
        <v>56</v>
      </c>
      <c r="P632" s="3">
        <v>65</v>
      </c>
      <c r="Q632" s="2" t="s">
        <v>2</v>
      </c>
      <c r="R632" s="2" t="s">
        <v>3</v>
      </c>
      <c r="S632" s="2" t="s">
        <v>5</v>
      </c>
    </row>
    <row r="633" spans="1:19" x14ac:dyDescent="0.3">
      <c r="A633">
        <v>632</v>
      </c>
      <c r="B633" s="5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 s="4">
        <v>0.2273</v>
      </c>
      <c r="L633" s="3">
        <v>0.6</v>
      </c>
      <c r="M633" s="3">
        <v>0.1343</v>
      </c>
      <c r="N633" s="3">
        <v>10</v>
      </c>
      <c r="O633" s="3">
        <v>89</v>
      </c>
      <c r="P633" s="3">
        <v>99</v>
      </c>
      <c r="Q633" s="2" t="s">
        <v>2</v>
      </c>
      <c r="R633" s="2" t="s">
        <v>3</v>
      </c>
      <c r="S633" s="2" t="s">
        <v>5</v>
      </c>
    </row>
    <row r="634" spans="1:19" x14ac:dyDescent="0.3">
      <c r="A634">
        <v>633</v>
      </c>
      <c r="B634" s="5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 s="4">
        <v>0.21210000000000001</v>
      </c>
      <c r="L634" s="3">
        <v>0.69</v>
      </c>
      <c r="M634" s="3">
        <v>0.25369999999999998</v>
      </c>
      <c r="N634" s="3">
        <v>22</v>
      </c>
      <c r="O634" s="3">
        <v>98</v>
      </c>
      <c r="P634" s="3">
        <v>120</v>
      </c>
      <c r="Q634" s="2" t="s">
        <v>2</v>
      </c>
      <c r="R634" s="2" t="s">
        <v>1</v>
      </c>
      <c r="S634" s="2" t="s">
        <v>5</v>
      </c>
    </row>
    <row r="635" spans="1:19" x14ac:dyDescent="0.3">
      <c r="A635">
        <v>634</v>
      </c>
      <c r="B635" s="5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 s="4">
        <v>0.2424</v>
      </c>
      <c r="L635" s="3">
        <v>0.6</v>
      </c>
      <c r="M635" s="3">
        <v>0.16420000000000001</v>
      </c>
      <c r="N635" s="3">
        <v>19</v>
      </c>
      <c r="O635" s="3">
        <v>88</v>
      </c>
      <c r="P635" s="3">
        <v>107</v>
      </c>
      <c r="Q635" s="2" t="s">
        <v>2</v>
      </c>
      <c r="R635" s="2" t="s">
        <v>1</v>
      </c>
      <c r="S635" s="2" t="s">
        <v>5</v>
      </c>
    </row>
    <row r="636" spans="1:19" x14ac:dyDescent="0.3">
      <c r="A636">
        <v>635</v>
      </c>
      <c r="B636" s="5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 s="4">
        <v>0.28789999999999999</v>
      </c>
      <c r="L636" s="3">
        <v>0.6</v>
      </c>
      <c r="M636" s="3">
        <v>0</v>
      </c>
      <c r="N636" s="3">
        <v>9</v>
      </c>
      <c r="O636" s="3">
        <v>82</v>
      </c>
      <c r="P636" s="3">
        <v>91</v>
      </c>
      <c r="Q636" s="2" t="s">
        <v>2</v>
      </c>
      <c r="R636" s="2" t="s">
        <v>1</v>
      </c>
      <c r="S636" s="2" t="s">
        <v>5</v>
      </c>
    </row>
    <row r="637" spans="1:19" x14ac:dyDescent="0.3">
      <c r="A637">
        <v>636</v>
      </c>
      <c r="B637" s="5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 s="4">
        <v>0.2273</v>
      </c>
      <c r="L637" s="3">
        <v>0.69</v>
      </c>
      <c r="M637" s="3">
        <v>0.1343</v>
      </c>
      <c r="N637" s="3">
        <v>9</v>
      </c>
      <c r="O637" s="3">
        <v>59</v>
      </c>
      <c r="P637" s="3">
        <v>68</v>
      </c>
      <c r="Q637" s="2" t="s">
        <v>2</v>
      </c>
      <c r="R637" s="2" t="s">
        <v>1</v>
      </c>
      <c r="S637" s="2" t="s">
        <v>5</v>
      </c>
    </row>
    <row r="638" spans="1:19" x14ac:dyDescent="0.3">
      <c r="A638">
        <v>637</v>
      </c>
      <c r="B638" s="5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 s="4">
        <v>0.21210000000000001</v>
      </c>
      <c r="L638" s="3">
        <v>0.69</v>
      </c>
      <c r="M638" s="3">
        <v>0.25369999999999998</v>
      </c>
      <c r="N638" s="3">
        <v>6</v>
      </c>
      <c r="O638" s="3">
        <v>52</v>
      </c>
      <c r="P638" s="3">
        <v>58</v>
      </c>
      <c r="Q638" s="2" t="s">
        <v>2</v>
      </c>
      <c r="R638" s="2" t="s">
        <v>3</v>
      </c>
      <c r="S638" s="2" t="s">
        <v>5</v>
      </c>
    </row>
    <row r="639" spans="1:19" x14ac:dyDescent="0.3">
      <c r="A639">
        <v>638</v>
      </c>
      <c r="B639" s="5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 s="4">
        <v>0.21210000000000001</v>
      </c>
      <c r="L639" s="3">
        <v>0.74</v>
      </c>
      <c r="M639" s="3">
        <v>8.9599999999999999E-2</v>
      </c>
      <c r="N639" s="3">
        <v>1</v>
      </c>
      <c r="O639" s="3">
        <v>42</v>
      </c>
      <c r="P639" s="3">
        <v>43</v>
      </c>
      <c r="Q639" s="2" t="s">
        <v>2</v>
      </c>
      <c r="R639" s="2" t="s">
        <v>1</v>
      </c>
      <c r="S639" s="2" t="s">
        <v>5</v>
      </c>
    </row>
    <row r="640" spans="1:19" x14ac:dyDescent="0.3">
      <c r="A640">
        <v>639</v>
      </c>
      <c r="B640" s="5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 s="4">
        <v>0.21210000000000001</v>
      </c>
      <c r="L640" s="3">
        <v>0.74</v>
      </c>
      <c r="M640" s="3">
        <v>8.9599999999999999E-2</v>
      </c>
      <c r="N640" s="3">
        <v>1</v>
      </c>
      <c r="O640" s="3">
        <v>35</v>
      </c>
      <c r="P640" s="3">
        <v>36</v>
      </c>
      <c r="Q640" s="2" t="s">
        <v>2</v>
      </c>
      <c r="R640" s="2" t="s">
        <v>1</v>
      </c>
      <c r="S640" s="2" t="s">
        <v>5</v>
      </c>
    </row>
    <row r="641" spans="1:19" x14ac:dyDescent="0.3">
      <c r="A641">
        <v>640</v>
      </c>
      <c r="B641" s="5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 s="4">
        <v>0.19700000000000001</v>
      </c>
      <c r="L641" s="3">
        <v>0.8</v>
      </c>
      <c r="M641" s="3">
        <v>8.9599999999999999E-2</v>
      </c>
      <c r="N641" s="3">
        <v>4</v>
      </c>
      <c r="O641" s="3">
        <v>28</v>
      </c>
      <c r="P641" s="3">
        <v>32</v>
      </c>
      <c r="Q641" s="2" t="s">
        <v>2</v>
      </c>
      <c r="R641" s="2" t="s">
        <v>1</v>
      </c>
      <c r="S641" s="2" t="s">
        <v>5</v>
      </c>
    </row>
    <row r="642" spans="1:19" x14ac:dyDescent="0.3">
      <c r="A642">
        <v>641</v>
      </c>
      <c r="B642" s="5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 s="4">
        <v>0.19700000000000001</v>
      </c>
      <c r="L642" s="3">
        <v>0.8</v>
      </c>
      <c r="M642" s="3">
        <v>8.9599999999999999E-2</v>
      </c>
      <c r="N642" s="3">
        <v>3</v>
      </c>
      <c r="O642" s="3">
        <v>30</v>
      </c>
      <c r="P642" s="3">
        <v>33</v>
      </c>
      <c r="Q642" s="2" t="s">
        <v>2</v>
      </c>
      <c r="R642" s="2" t="s">
        <v>1</v>
      </c>
      <c r="S642" s="2" t="s">
        <v>5</v>
      </c>
    </row>
    <row r="643" spans="1:19" x14ac:dyDescent="0.3">
      <c r="A643">
        <v>642</v>
      </c>
      <c r="B643" s="5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 s="4">
        <v>0.18179999999999999</v>
      </c>
      <c r="L643" s="3">
        <v>0.8</v>
      </c>
      <c r="M643" s="3">
        <v>0.1045</v>
      </c>
      <c r="N643" s="3">
        <v>0</v>
      </c>
      <c r="O643" s="3">
        <v>33</v>
      </c>
      <c r="P643" s="3">
        <v>33</v>
      </c>
      <c r="Q643" s="2" t="s">
        <v>2</v>
      </c>
      <c r="R643" s="2" t="s">
        <v>1</v>
      </c>
      <c r="S643" s="2" t="s">
        <v>5</v>
      </c>
    </row>
    <row r="644" spans="1:19" x14ac:dyDescent="0.3">
      <c r="A644">
        <v>643</v>
      </c>
      <c r="B644" s="5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 s="4">
        <v>0.21210000000000001</v>
      </c>
      <c r="L644" s="3">
        <v>0.8</v>
      </c>
      <c r="M644" s="3">
        <v>0</v>
      </c>
      <c r="N644" s="3">
        <v>7</v>
      </c>
      <c r="O644" s="3">
        <v>22</v>
      </c>
      <c r="P644" s="3">
        <v>29</v>
      </c>
      <c r="Q644" s="2" t="s">
        <v>2</v>
      </c>
      <c r="R644" s="2" t="s">
        <v>1</v>
      </c>
      <c r="S644" s="2" t="s">
        <v>5</v>
      </c>
    </row>
    <row r="645" spans="1:19" x14ac:dyDescent="0.3">
      <c r="A645">
        <v>644</v>
      </c>
      <c r="B645" s="5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 s="4">
        <v>0.2273</v>
      </c>
      <c r="L645" s="3">
        <v>0.8</v>
      </c>
      <c r="M645" s="3">
        <v>0</v>
      </c>
      <c r="N645" s="3">
        <v>1</v>
      </c>
      <c r="O645" s="3">
        <v>10</v>
      </c>
      <c r="P645" s="3">
        <v>11</v>
      </c>
      <c r="Q645" s="2" t="s">
        <v>2</v>
      </c>
      <c r="R645" s="2" t="s">
        <v>1</v>
      </c>
      <c r="S645" s="2" t="s">
        <v>5</v>
      </c>
    </row>
    <row r="646" spans="1:19" x14ac:dyDescent="0.3">
      <c r="A646">
        <v>645</v>
      </c>
      <c r="B646" s="5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 s="4">
        <v>0.21210000000000001</v>
      </c>
      <c r="L646" s="3">
        <v>0.93</v>
      </c>
      <c r="M646" s="3">
        <v>0</v>
      </c>
      <c r="N646" s="3">
        <v>1</v>
      </c>
      <c r="O646" s="3">
        <v>7</v>
      </c>
      <c r="P646" s="3">
        <v>8</v>
      </c>
      <c r="Q646" s="2" t="s">
        <v>2</v>
      </c>
      <c r="R646" s="2" t="s">
        <v>1</v>
      </c>
      <c r="S646" s="2" t="s">
        <v>5</v>
      </c>
    </row>
    <row r="647" spans="1:19" x14ac:dyDescent="0.3">
      <c r="A647">
        <v>646</v>
      </c>
      <c r="B647" s="5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 s="4">
        <v>0.21210000000000001</v>
      </c>
      <c r="L647" s="3">
        <v>0.93</v>
      </c>
      <c r="M647" s="3">
        <v>0</v>
      </c>
      <c r="N647" s="3">
        <v>0</v>
      </c>
      <c r="O647" s="3">
        <v>1</v>
      </c>
      <c r="P647" s="3">
        <v>1</v>
      </c>
      <c r="Q647" s="2" t="s">
        <v>2</v>
      </c>
      <c r="R647" s="2" t="s">
        <v>1</v>
      </c>
      <c r="S647" s="2" t="s">
        <v>5</v>
      </c>
    </row>
    <row r="648" spans="1:19" x14ac:dyDescent="0.3">
      <c r="A648">
        <v>647</v>
      </c>
      <c r="B648" s="5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 s="4">
        <v>0.21210000000000001</v>
      </c>
      <c r="L648" s="3">
        <v>0.86</v>
      </c>
      <c r="M648" s="3">
        <v>0</v>
      </c>
      <c r="N648" s="3">
        <v>0</v>
      </c>
      <c r="O648" s="3">
        <v>3</v>
      </c>
      <c r="P648" s="3">
        <v>3</v>
      </c>
      <c r="Q648" s="2" t="s">
        <v>2</v>
      </c>
      <c r="R648" s="2" t="s">
        <v>1</v>
      </c>
      <c r="S648" s="2" t="s">
        <v>5</v>
      </c>
    </row>
    <row r="649" spans="1:19" x14ac:dyDescent="0.3">
      <c r="A649">
        <v>648</v>
      </c>
      <c r="B649" s="5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 s="4">
        <v>0.21210000000000001</v>
      </c>
      <c r="L649" s="3">
        <v>0.86</v>
      </c>
      <c r="M649" s="3">
        <v>0</v>
      </c>
      <c r="N649" s="3">
        <v>0</v>
      </c>
      <c r="O649" s="3">
        <v>3</v>
      </c>
      <c r="P649" s="3">
        <v>3</v>
      </c>
      <c r="Q649" s="2" t="s">
        <v>2</v>
      </c>
      <c r="R649" s="2" t="s">
        <v>1</v>
      </c>
      <c r="S649" s="2" t="s">
        <v>5</v>
      </c>
    </row>
    <row r="650" spans="1:19" x14ac:dyDescent="0.3">
      <c r="A650">
        <v>649</v>
      </c>
      <c r="B650" s="5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 s="4">
        <v>0.21210000000000001</v>
      </c>
      <c r="L650" s="3">
        <v>0.86</v>
      </c>
      <c r="M650" s="3">
        <v>0</v>
      </c>
      <c r="N650" s="3">
        <v>1</v>
      </c>
      <c r="O650" s="3">
        <v>11</v>
      </c>
      <c r="P650" s="3">
        <v>12</v>
      </c>
      <c r="Q650" s="2" t="s">
        <v>2</v>
      </c>
      <c r="R650" s="2" t="s">
        <v>3</v>
      </c>
      <c r="S650" s="2" t="s">
        <v>5</v>
      </c>
    </row>
    <row r="651" spans="1:19" x14ac:dyDescent="0.3">
      <c r="A651">
        <v>650</v>
      </c>
      <c r="B651" s="5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 s="4">
        <v>0.2273</v>
      </c>
      <c r="L651" s="3">
        <v>0.8</v>
      </c>
      <c r="M651" s="3">
        <v>0</v>
      </c>
      <c r="N651" s="3">
        <v>4</v>
      </c>
      <c r="O651" s="3">
        <v>34</v>
      </c>
      <c r="P651" s="3">
        <v>38</v>
      </c>
      <c r="Q651" s="2" t="s">
        <v>2</v>
      </c>
      <c r="R651" s="2" t="s">
        <v>3</v>
      </c>
      <c r="S651" s="2" t="s">
        <v>5</v>
      </c>
    </row>
    <row r="652" spans="1:19" x14ac:dyDescent="0.3">
      <c r="A652">
        <v>651</v>
      </c>
      <c r="B652" s="5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 s="4">
        <v>0.2424</v>
      </c>
      <c r="L652" s="3">
        <v>0.8</v>
      </c>
      <c r="M652" s="3">
        <v>0</v>
      </c>
      <c r="N652" s="3">
        <v>7</v>
      </c>
      <c r="O652" s="3">
        <v>57</v>
      </c>
      <c r="P652" s="3">
        <v>64</v>
      </c>
      <c r="Q652" s="2" t="s">
        <v>2</v>
      </c>
      <c r="R652" s="2" t="s">
        <v>3</v>
      </c>
      <c r="S652" s="2" t="s">
        <v>5</v>
      </c>
    </row>
    <row r="653" spans="1:19" x14ac:dyDescent="0.3">
      <c r="A653">
        <v>652</v>
      </c>
      <c r="B653" s="5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 s="4">
        <v>0.2727</v>
      </c>
      <c r="L653" s="3">
        <v>0.75</v>
      </c>
      <c r="M653" s="3">
        <v>0</v>
      </c>
      <c r="N653" s="3">
        <v>9</v>
      </c>
      <c r="O653" s="3">
        <v>50</v>
      </c>
      <c r="P653" s="3">
        <v>59</v>
      </c>
      <c r="Q653" s="2" t="s">
        <v>2</v>
      </c>
      <c r="R653" s="2" t="s">
        <v>1</v>
      </c>
      <c r="S653" s="2" t="s">
        <v>5</v>
      </c>
    </row>
    <row r="654" spans="1:19" x14ac:dyDescent="0.3">
      <c r="A654">
        <v>653</v>
      </c>
      <c r="B654" s="5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 s="4">
        <v>0.31819999999999998</v>
      </c>
      <c r="L654" s="3">
        <v>0.52</v>
      </c>
      <c r="M654" s="3">
        <v>0.1045</v>
      </c>
      <c r="N654" s="3">
        <v>10</v>
      </c>
      <c r="O654" s="3">
        <v>87</v>
      </c>
      <c r="P654" s="3">
        <v>97</v>
      </c>
      <c r="Q654" s="2" t="s">
        <v>2</v>
      </c>
      <c r="R654" s="2" t="s">
        <v>1</v>
      </c>
      <c r="S654" s="2" t="s">
        <v>5</v>
      </c>
    </row>
    <row r="655" spans="1:19" x14ac:dyDescent="0.3">
      <c r="A655">
        <v>654</v>
      </c>
      <c r="B655" s="5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 s="4">
        <v>0.28789999999999999</v>
      </c>
      <c r="L655" s="3">
        <v>0.61</v>
      </c>
      <c r="M655" s="3">
        <v>0.1045</v>
      </c>
      <c r="N655" s="3">
        <v>13</v>
      </c>
      <c r="O655" s="3">
        <v>71</v>
      </c>
      <c r="P655" s="3">
        <v>84</v>
      </c>
      <c r="Q655" s="2" t="s">
        <v>2</v>
      </c>
      <c r="R655" s="2" t="s">
        <v>1</v>
      </c>
      <c r="S655" s="2" t="s">
        <v>5</v>
      </c>
    </row>
    <row r="656" spans="1:19" x14ac:dyDescent="0.3">
      <c r="A656">
        <v>655</v>
      </c>
      <c r="B656" s="5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 s="4">
        <v>0.30299999999999999</v>
      </c>
      <c r="L656" s="3">
        <v>0.61</v>
      </c>
      <c r="M656" s="3">
        <v>8.9599999999999999E-2</v>
      </c>
      <c r="N656" s="3">
        <v>18</v>
      </c>
      <c r="O656" s="3">
        <v>104</v>
      </c>
      <c r="P656" s="3">
        <v>122</v>
      </c>
      <c r="Q656" s="2" t="s">
        <v>2</v>
      </c>
      <c r="R656" s="2" t="s">
        <v>1</v>
      </c>
      <c r="S656" s="2" t="s">
        <v>5</v>
      </c>
    </row>
    <row r="657" spans="1:19" x14ac:dyDescent="0.3">
      <c r="A657">
        <v>656</v>
      </c>
      <c r="B657" s="5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 s="4">
        <v>0.33329999999999999</v>
      </c>
      <c r="L657" s="3">
        <v>0.56000000000000005</v>
      </c>
      <c r="M657" s="3">
        <v>0</v>
      </c>
      <c r="N657" s="3">
        <v>14</v>
      </c>
      <c r="O657" s="3">
        <v>95</v>
      </c>
      <c r="P657" s="3">
        <v>109</v>
      </c>
      <c r="Q657" s="2" t="s">
        <v>2</v>
      </c>
      <c r="R657" s="2" t="s">
        <v>1</v>
      </c>
      <c r="S657" s="2" t="s">
        <v>5</v>
      </c>
    </row>
    <row r="658" spans="1:19" x14ac:dyDescent="0.3">
      <c r="A658">
        <v>657</v>
      </c>
      <c r="B658" s="5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 s="4">
        <v>0.33329999999999999</v>
      </c>
      <c r="L658" s="3">
        <v>0.56000000000000005</v>
      </c>
      <c r="M658" s="3">
        <v>0</v>
      </c>
      <c r="N658" s="3">
        <v>19</v>
      </c>
      <c r="O658" s="3">
        <v>104</v>
      </c>
      <c r="P658" s="3">
        <v>123</v>
      </c>
      <c r="Q658" s="2" t="s">
        <v>2</v>
      </c>
      <c r="R658" s="2" t="s">
        <v>1</v>
      </c>
      <c r="S658" s="2" t="s">
        <v>5</v>
      </c>
    </row>
    <row r="659" spans="1:19" x14ac:dyDescent="0.3">
      <c r="A659">
        <v>658</v>
      </c>
      <c r="B659" s="5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 s="4">
        <v>0.28789999999999999</v>
      </c>
      <c r="L659" s="3">
        <v>0.56000000000000005</v>
      </c>
      <c r="M659" s="3">
        <v>0.19400000000000001</v>
      </c>
      <c r="N659" s="3">
        <v>6</v>
      </c>
      <c r="O659" s="3">
        <v>71</v>
      </c>
      <c r="P659" s="3">
        <v>77</v>
      </c>
      <c r="Q659" s="2" t="s">
        <v>2</v>
      </c>
      <c r="R659" s="2" t="s">
        <v>1</v>
      </c>
      <c r="S659" s="2" t="s">
        <v>5</v>
      </c>
    </row>
    <row r="660" spans="1:19" x14ac:dyDescent="0.3">
      <c r="A660">
        <v>659</v>
      </c>
      <c r="B660" s="5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 s="4">
        <v>0.2576</v>
      </c>
      <c r="L660" s="3">
        <v>0.65</v>
      </c>
      <c r="M660" s="3">
        <v>0.16420000000000001</v>
      </c>
      <c r="N660" s="3">
        <v>8</v>
      </c>
      <c r="O660" s="3">
        <v>57</v>
      </c>
      <c r="P660" s="3">
        <v>65</v>
      </c>
      <c r="Q660" s="2" t="s">
        <v>2</v>
      </c>
      <c r="R660" s="2" t="s">
        <v>1</v>
      </c>
      <c r="S660" s="2" t="s">
        <v>5</v>
      </c>
    </row>
    <row r="661" spans="1:19" x14ac:dyDescent="0.3">
      <c r="A661">
        <v>660</v>
      </c>
      <c r="B661" s="5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 s="4">
        <v>0.2576</v>
      </c>
      <c r="L661" s="3">
        <v>0.65</v>
      </c>
      <c r="M661" s="3">
        <v>0.19400000000000001</v>
      </c>
      <c r="N661" s="3">
        <v>9</v>
      </c>
      <c r="O661" s="3">
        <v>46</v>
      </c>
      <c r="P661" s="3">
        <v>55</v>
      </c>
      <c r="Q661" s="2" t="s">
        <v>2</v>
      </c>
      <c r="R661" s="2" t="s">
        <v>1</v>
      </c>
      <c r="S661" s="2" t="s">
        <v>5</v>
      </c>
    </row>
    <row r="662" spans="1:19" x14ac:dyDescent="0.3">
      <c r="A662">
        <v>661</v>
      </c>
      <c r="B662" s="5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 s="4">
        <v>0.2727</v>
      </c>
      <c r="L662" s="3">
        <v>0.65</v>
      </c>
      <c r="M662" s="3">
        <v>0.1045</v>
      </c>
      <c r="N662" s="3">
        <v>3</v>
      </c>
      <c r="O662" s="3">
        <v>30</v>
      </c>
      <c r="P662" s="3">
        <v>33</v>
      </c>
      <c r="Q662" s="2" t="s">
        <v>2</v>
      </c>
      <c r="R662" s="2" t="s">
        <v>3</v>
      </c>
      <c r="S662" s="2" t="s">
        <v>5</v>
      </c>
    </row>
    <row r="663" spans="1:19" x14ac:dyDescent="0.3">
      <c r="A663">
        <v>662</v>
      </c>
      <c r="B663" s="5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 s="4">
        <v>0.2424</v>
      </c>
      <c r="L663" s="3">
        <v>0.7</v>
      </c>
      <c r="M663" s="3">
        <v>0.16420000000000001</v>
      </c>
      <c r="N663" s="3">
        <v>3</v>
      </c>
      <c r="O663" s="3">
        <v>25</v>
      </c>
      <c r="P663" s="3">
        <v>28</v>
      </c>
      <c r="Q663" s="2" t="s">
        <v>2</v>
      </c>
      <c r="R663" s="2" t="s">
        <v>3</v>
      </c>
      <c r="S663" s="2" t="s">
        <v>5</v>
      </c>
    </row>
    <row r="664" spans="1:19" x14ac:dyDescent="0.3">
      <c r="A664">
        <v>663</v>
      </c>
      <c r="B664" s="5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 s="4">
        <v>0.2273</v>
      </c>
      <c r="L664" s="3">
        <v>0.7</v>
      </c>
      <c r="M664" s="3">
        <v>0.19400000000000001</v>
      </c>
      <c r="N664" s="3">
        <v>2</v>
      </c>
      <c r="O664" s="3">
        <v>19</v>
      </c>
      <c r="P664" s="3">
        <v>21</v>
      </c>
      <c r="Q664" s="2" t="s">
        <v>2</v>
      </c>
      <c r="R664" s="2" t="s">
        <v>3</v>
      </c>
      <c r="S664" s="2" t="s">
        <v>5</v>
      </c>
    </row>
    <row r="665" spans="1:19" x14ac:dyDescent="0.3">
      <c r="A665">
        <v>664</v>
      </c>
      <c r="B665" s="5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 s="4">
        <v>0.21210000000000001</v>
      </c>
      <c r="L665" s="3">
        <v>0.65</v>
      </c>
      <c r="M665" s="3">
        <v>0.28360000000000002</v>
      </c>
      <c r="N665" s="3">
        <v>5</v>
      </c>
      <c r="O665" s="3">
        <v>16</v>
      </c>
      <c r="P665" s="3">
        <v>21</v>
      </c>
      <c r="Q665" s="2" t="s">
        <v>2</v>
      </c>
      <c r="R665" s="2" t="s">
        <v>3</v>
      </c>
      <c r="S665" s="2" t="s">
        <v>5</v>
      </c>
    </row>
    <row r="666" spans="1:19" x14ac:dyDescent="0.3">
      <c r="A666">
        <v>665</v>
      </c>
      <c r="B666" s="5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 s="4">
        <v>0.2273</v>
      </c>
      <c r="L666" s="3">
        <v>0.65</v>
      </c>
      <c r="M666" s="3">
        <v>0.22389999999999999</v>
      </c>
      <c r="N666" s="3">
        <v>1</v>
      </c>
      <c r="O666" s="3">
        <v>6</v>
      </c>
      <c r="P666" s="3">
        <v>7</v>
      </c>
      <c r="Q666" s="2" t="s">
        <v>2</v>
      </c>
      <c r="R666" s="2" t="s">
        <v>3</v>
      </c>
      <c r="S666" s="2" t="s">
        <v>5</v>
      </c>
    </row>
    <row r="667" spans="1:19" x14ac:dyDescent="0.3">
      <c r="A667">
        <v>666</v>
      </c>
      <c r="B667" s="5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 s="4">
        <v>0.21210000000000001</v>
      </c>
      <c r="L667" s="3">
        <v>0.64</v>
      </c>
      <c r="M667" s="3">
        <v>0.25369999999999998</v>
      </c>
      <c r="N667" s="3">
        <v>2</v>
      </c>
      <c r="O667" s="3">
        <v>5</v>
      </c>
      <c r="P667" s="3">
        <v>7</v>
      </c>
      <c r="Q667" s="2" t="s">
        <v>2</v>
      </c>
      <c r="R667" s="2" t="s">
        <v>1</v>
      </c>
      <c r="S667" s="2" t="s">
        <v>5</v>
      </c>
    </row>
    <row r="668" spans="1:19" x14ac:dyDescent="0.3">
      <c r="A668">
        <v>667</v>
      </c>
      <c r="B668" s="5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 s="4">
        <v>0.2273</v>
      </c>
      <c r="L668" s="3">
        <v>0.64</v>
      </c>
      <c r="M668" s="3">
        <v>0.19400000000000001</v>
      </c>
      <c r="N668" s="3">
        <v>0</v>
      </c>
      <c r="O668" s="3">
        <v>1</v>
      </c>
      <c r="P668" s="3">
        <v>1</v>
      </c>
      <c r="Q668" s="2" t="s">
        <v>2</v>
      </c>
      <c r="R668" s="2" t="s">
        <v>1</v>
      </c>
      <c r="S668" s="2" t="s">
        <v>5</v>
      </c>
    </row>
    <row r="669" spans="1:19" x14ac:dyDescent="0.3">
      <c r="A669">
        <v>668</v>
      </c>
      <c r="B669" s="5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 s="4">
        <v>0.2273</v>
      </c>
      <c r="L669" s="3">
        <v>0.64</v>
      </c>
      <c r="M669" s="3">
        <v>0.19400000000000001</v>
      </c>
      <c r="N669" s="3">
        <v>0</v>
      </c>
      <c r="O669" s="3">
        <v>2</v>
      </c>
      <c r="P669" s="3">
        <v>2</v>
      </c>
      <c r="Q669" s="2" t="s">
        <v>2</v>
      </c>
      <c r="R669" s="2" t="s">
        <v>1</v>
      </c>
      <c r="S669" s="2" t="s">
        <v>5</v>
      </c>
    </row>
    <row r="670" spans="1:19" x14ac:dyDescent="0.3">
      <c r="A670">
        <v>669</v>
      </c>
      <c r="B670" s="5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 s="4">
        <v>0.19700000000000001</v>
      </c>
      <c r="L670" s="3">
        <v>0.59</v>
      </c>
      <c r="M670" s="3">
        <v>0.22389999999999999</v>
      </c>
      <c r="N670" s="3">
        <v>0</v>
      </c>
      <c r="O670" s="3">
        <v>2</v>
      </c>
      <c r="P670" s="3">
        <v>2</v>
      </c>
      <c r="Q670" s="2" t="s">
        <v>2</v>
      </c>
      <c r="R670" s="2" t="s">
        <v>1</v>
      </c>
      <c r="S670" s="2" t="s">
        <v>5</v>
      </c>
    </row>
    <row r="671" spans="1:19" x14ac:dyDescent="0.3">
      <c r="A671">
        <v>670</v>
      </c>
      <c r="B671" s="5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 s="4">
        <v>0.16669999999999999</v>
      </c>
      <c r="L671" s="3">
        <v>0.64</v>
      </c>
      <c r="M671" s="3">
        <v>0.28360000000000002</v>
      </c>
      <c r="N671" s="3">
        <v>0</v>
      </c>
      <c r="O671" s="3">
        <v>8</v>
      </c>
      <c r="P671" s="3">
        <v>8</v>
      </c>
      <c r="Q671" s="2" t="s">
        <v>2</v>
      </c>
      <c r="R671" s="2" t="s">
        <v>1</v>
      </c>
      <c r="S671" s="2" t="s">
        <v>5</v>
      </c>
    </row>
    <row r="672" spans="1:19" x14ac:dyDescent="0.3">
      <c r="A672">
        <v>671</v>
      </c>
      <c r="B672" s="5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 s="4">
        <v>0.13639999999999999</v>
      </c>
      <c r="L672" s="3">
        <v>0.69</v>
      </c>
      <c r="M672" s="3">
        <v>0.32840000000000003</v>
      </c>
      <c r="N672" s="3">
        <v>0</v>
      </c>
      <c r="O672" s="3">
        <v>37</v>
      </c>
      <c r="P672" s="3">
        <v>37</v>
      </c>
      <c r="Q672" s="2" t="s">
        <v>2</v>
      </c>
      <c r="R672" s="2" t="s">
        <v>1</v>
      </c>
      <c r="S672" s="2" t="s">
        <v>5</v>
      </c>
    </row>
    <row r="673" spans="1:19" x14ac:dyDescent="0.3">
      <c r="A673">
        <v>672</v>
      </c>
      <c r="B673" s="5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 s="4">
        <v>0.13639999999999999</v>
      </c>
      <c r="L673" s="3">
        <v>0.64</v>
      </c>
      <c r="M673" s="3">
        <v>0.28360000000000002</v>
      </c>
      <c r="N673" s="3">
        <v>1</v>
      </c>
      <c r="O673" s="3">
        <v>71</v>
      </c>
      <c r="P673" s="3">
        <v>72</v>
      </c>
      <c r="Q673" s="2" t="s">
        <v>2</v>
      </c>
      <c r="R673" s="2" t="s">
        <v>3</v>
      </c>
      <c r="S673" s="2" t="s">
        <v>5</v>
      </c>
    </row>
    <row r="674" spans="1:19" x14ac:dyDescent="0.3">
      <c r="A674">
        <v>673</v>
      </c>
      <c r="B674" s="5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 s="4">
        <v>0.13639999999999999</v>
      </c>
      <c r="L674" s="3">
        <v>0.59</v>
      </c>
      <c r="M674" s="3">
        <v>0.28360000000000002</v>
      </c>
      <c r="N674" s="3">
        <v>3</v>
      </c>
      <c r="O674" s="3">
        <v>182</v>
      </c>
      <c r="P674" s="3">
        <v>185</v>
      </c>
      <c r="Q674" s="2" t="s">
        <v>2</v>
      </c>
      <c r="R674" s="2" t="s">
        <v>3</v>
      </c>
      <c r="S674" s="2" t="s">
        <v>5</v>
      </c>
    </row>
    <row r="675" spans="1:19" x14ac:dyDescent="0.3">
      <c r="A675">
        <v>674</v>
      </c>
      <c r="B675" s="5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 s="4">
        <v>0.13639999999999999</v>
      </c>
      <c r="L675" s="3">
        <v>0.59</v>
      </c>
      <c r="M675" s="3">
        <v>0.29849999999999999</v>
      </c>
      <c r="N675" s="3">
        <v>0</v>
      </c>
      <c r="O675" s="3">
        <v>112</v>
      </c>
      <c r="P675" s="3">
        <v>112</v>
      </c>
      <c r="Q675" s="2" t="s">
        <v>2</v>
      </c>
      <c r="R675" s="2" t="s">
        <v>3</v>
      </c>
      <c r="S675" s="2" t="s">
        <v>5</v>
      </c>
    </row>
    <row r="676" spans="1:19" x14ac:dyDescent="0.3">
      <c r="A676">
        <v>675</v>
      </c>
      <c r="B676" s="5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 s="4">
        <v>0.1515</v>
      </c>
      <c r="L676" s="3">
        <v>0.59</v>
      </c>
      <c r="M676" s="3">
        <v>0.19400000000000001</v>
      </c>
      <c r="N676" s="3">
        <v>1</v>
      </c>
      <c r="O676" s="3">
        <v>68</v>
      </c>
      <c r="P676" s="3">
        <v>69</v>
      </c>
      <c r="Q676" s="2" t="s">
        <v>2</v>
      </c>
      <c r="R676" s="2" t="s">
        <v>3</v>
      </c>
      <c r="S676" s="2" t="s">
        <v>5</v>
      </c>
    </row>
    <row r="677" spans="1:19" x14ac:dyDescent="0.3">
      <c r="A677">
        <v>676</v>
      </c>
      <c r="B677" s="5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 s="4">
        <v>0.1515</v>
      </c>
      <c r="L677" s="3">
        <v>0.59</v>
      </c>
      <c r="M677" s="3">
        <v>0.19400000000000001</v>
      </c>
      <c r="N677" s="3">
        <v>2</v>
      </c>
      <c r="O677" s="3">
        <v>46</v>
      </c>
      <c r="P677" s="3">
        <v>48</v>
      </c>
      <c r="Q677" s="2" t="s">
        <v>2</v>
      </c>
      <c r="R677" s="2" t="s">
        <v>3</v>
      </c>
      <c r="S677" s="2" t="s">
        <v>5</v>
      </c>
    </row>
    <row r="678" spans="1:19" x14ac:dyDescent="0.3">
      <c r="A678">
        <v>677</v>
      </c>
      <c r="B678" s="5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 s="4">
        <v>0.21210000000000001</v>
      </c>
      <c r="L678" s="3">
        <v>0.55000000000000004</v>
      </c>
      <c r="M678" s="3">
        <v>0.1045</v>
      </c>
      <c r="N678" s="3">
        <v>6</v>
      </c>
      <c r="O678" s="3">
        <v>62</v>
      </c>
      <c r="P678" s="3">
        <v>68</v>
      </c>
      <c r="Q678" s="2" t="s">
        <v>2</v>
      </c>
      <c r="R678" s="2" t="s">
        <v>3</v>
      </c>
      <c r="S678" s="2" t="s">
        <v>5</v>
      </c>
    </row>
    <row r="679" spans="1:19" x14ac:dyDescent="0.3">
      <c r="A679">
        <v>678</v>
      </c>
      <c r="B679" s="5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 s="4">
        <v>0.2273</v>
      </c>
      <c r="L679" s="3">
        <v>0.59</v>
      </c>
      <c r="M679" s="3">
        <v>0</v>
      </c>
      <c r="N679" s="3">
        <v>2</v>
      </c>
      <c r="O679" s="3">
        <v>52</v>
      </c>
      <c r="P679" s="3">
        <v>54</v>
      </c>
      <c r="Q679" s="2" t="s">
        <v>2</v>
      </c>
      <c r="R679" s="2" t="s">
        <v>3</v>
      </c>
      <c r="S679" s="2" t="s">
        <v>5</v>
      </c>
    </row>
    <row r="680" spans="1:19" x14ac:dyDescent="0.3">
      <c r="A680">
        <v>679</v>
      </c>
      <c r="B680" s="5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 s="4">
        <v>0.19700000000000001</v>
      </c>
      <c r="L680" s="3">
        <v>0.55000000000000004</v>
      </c>
      <c r="M680" s="3">
        <v>0.1343</v>
      </c>
      <c r="N680" s="3">
        <v>1</v>
      </c>
      <c r="O680" s="3">
        <v>85</v>
      </c>
      <c r="P680" s="3">
        <v>86</v>
      </c>
      <c r="Q680" s="2" t="s">
        <v>2</v>
      </c>
      <c r="R680" s="2" t="s">
        <v>3</v>
      </c>
      <c r="S680" s="2" t="s">
        <v>5</v>
      </c>
    </row>
    <row r="681" spans="1:19" x14ac:dyDescent="0.3">
      <c r="A681">
        <v>680</v>
      </c>
      <c r="B681" s="5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 s="4">
        <v>0.18179999999999999</v>
      </c>
      <c r="L681" s="3">
        <v>0.59</v>
      </c>
      <c r="M681" s="3">
        <v>0.1343</v>
      </c>
      <c r="N681" s="3">
        <v>3</v>
      </c>
      <c r="O681" s="3">
        <v>41</v>
      </c>
      <c r="P681" s="3">
        <v>44</v>
      </c>
      <c r="Q681" s="2" t="s">
        <v>2</v>
      </c>
      <c r="R681" s="2" t="s">
        <v>3</v>
      </c>
      <c r="S681" s="2" t="s">
        <v>5</v>
      </c>
    </row>
    <row r="682" spans="1:19" x14ac:dyDescent="0.3">
      <c r="A682">
        <v>681</v>
      </c>
      <c r="B682" s="5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 s="4">
        <v>0.18179999999999999</v>
      </c>
      <c r="L682" s="3">
        <v>0.56000000000000005</v>
      </c>
      <c r="M682" s="3">
        <v>0.19400000000000001</v>
      </c>
      <c r="N682" s="3">
        <v>3</v>
      </c>
      <c r="O682" s="3">
        <v>83</v>
      </c>
      <c r="P682" s="3">
        <v>86</v>
      </c>
      <c r="Q682" s="2" t="s">
        <v>2</v>
      </c>
      <c r="R682" s="2" t="s">
        <v>3</v>
      </c>
      <c r="S682" s="2" t="s">
        <v>5</v>
      </c>
    </row>
    <row r="683" spans="1:19" x14ac:dyDescent="0.3">
      <c r="A683">
        <v>682</v>
      </c>
      <c r="B683" s="5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 s="4">
        <v>0.1515</v>
      </c>
      <c r="L683" s="3">
        <v>0.59</v>
      </c>
      <c r="M683" s="3">
        <v>0.19400000000000001</v>
      </c>
      <c r="N683" s="3">
        <v>6</v>
      </c>
      <c r="O683" s="3">
        <v>155</v>
      </c>
      <c r="P683" s="3">
        <v>161</v>
      </c>
      <c r="Q683" s="2" t="s">
        <v>2</v>
      </c>
      <c r="R683" s="2" t="s">
        <v>3</v>
      </c>
      <c r="S683" s="2" t="s">
        <v>5</v>
      </c>
    </row>
    <row r="684" spans="1:19" x14ac:dyDescent="0.3">
      <c r="A684">
        <v>683</v>
      </c>
      <c r="B684" s="5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 s="4">
        <v>0.1515</v>
      </c>
      <c r="L684" s="3">
        <v>0.55000000000000004</v>
      </c>
      <c r="M684" s="3">
        <v>0.22389999999999999</v>
      </c>
      <c r="N684" s="3">
        <v>3</v>
      </c>
      <c r="O684" s="3">
        <v>153</v>
      </c>
      <c r="P684" s="3">
        <v>156</v>
      </c>
      <c r="Q684" s="2" t="s">
        <v>2</v>
      </c>
      <c r="R684" s="2" t="s">
        <v>3</v>
      </c>
      <c r="S684" s="2" t="s">
        <v>5</v>
      </c>
    </row>
    <row r="685" spans="1:19" x14ac:dyDescent="0.3">
      <c r="A685">
        <v>684</v>
      </c>
      <c r="B685" s="5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 s="4">
        <v>0.31819999999999998</v>
      </c>
      <c r="L685" s="3">
        <v>0.61</v>
      </c>
      <c r="M685" s="3">
        <v>0.1045</v>
      </c>
      <c r="N685" s="3">
        <v>3</v>
      </c>
      <c r="O685" s="3">
        <v>108</v>
      </c>
      <c r="P685" s="3">
        <v>111</v>
      </c>
      <c r="Q685" s="2" t="s">
        <v>2</v>
      </c>
      <c r="R685" s="2" t="s">
        <v>1</v>
      </c>
      <c r="S685" s="2" t="s">
        <v>5</v>
      </c>
    </row>
    <row r="686" spans="1:19" x14ac:dyDescent="0.3">
      <c r="A686">
        <v>685</v>
      </c>
      <c r="B686" s="5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 s="4">
        <v>0.16669999999999999</v>
      </c>
      <c r="L686" s="3">
        <v>0.59</v>
      </c>
      <c r="M686" s="3">
        <v>0.16420000000000001</v>
      </c>
      <c r="N686" s="3">
        <v>0</v>
      </c>
      <c r="O686" s="3">
        <v>78</v>
      </c>
      <c r="P686" s="3">
        <v>78</v>
      </c>
      <c r="Q686" s="2" t="s">
        <v>2</v>
      </c>
      <c r="R686" s="2" t="s">
        <v>4</v>
      </c>
      <c r="S686" s="2" t="s">
        <v>5</v>
      </c>
    </row>
    <row r="687" spans="1:19" x14ac:dyDescent="0.3">
      <c r="A687">
        <v>686</v>
      </c>
      <c r="B687" s="5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 s="4">
        <v>0.19700000000000001</v>
      </c>
      <c r="L687" s="3">
        <v>0.59</v>
      </c>
      <c r="M687" s="3">
        <v>8.9599999999999999E-2</v>
      </c>
      <c r="N687" s="3">
        <v>3</v>
      </c>
      <c r="O687" s="3">
        <v>53</v>
      </c>
      <c r="P687" s="3">
        <v>56</v>
      </c>
      <c r="Q687" s="2" t="s">
        <v>2</v>
      </c>
      <c r="R687" s="2" t="s">
        <v>4</v>
      </c>
      <c r="S687" s="2" t="s">
        <v>5</v>
      </c>
    </row>
    <row r="688" spans="1:19" x14ac:dyDescent="0.3">
      <c r="A688">
        <v>687</v>
      </c>
      <c r="B688" s="5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 s="4">
        <v>0.18179999999999999</v>
      </c>
      <c r="L688" s="3">
        <v>0.59</v>
      </c>
      <c r="M688" s="3">
        <v>0.1045</v>
      </c>
      <c r="N688" s="3">
        <v>0</v>
      </c>
      <c r="O688" s="3">
        <v>34</v>
      </c>
      <c r="P688" s="3">
        <v>34</v>
      </c>
      <c r="Q688" s="2" t="s">
        <v>2</v>
      </c>
      <c r="R688" s="2" t="s">
        <v>3</v>
      </c>
      <c r="S688" s="2" t="s">
        <v>5</v>
      </c>
    </row>
    <row r="689" spans="1:19" x14ac:dyDescent="0.3">
      <c r="A689">
        <v>688</v>
      </c>
      <c r="B689" s="5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 s="4">
        <v>0.19700000000000001</v>
      </c>
      <c r="L689" s="3">
        <v>0.64</v>
      </c>
      <c r="M689" s="3">
        <v>8.9599999999999999E-2</v>
      </c>
      <c r="N689" s="3">
        <v>2</v>
      </c>
      <c r="O689" s="3">
        <v>15</v>
      </c>
      <c r="P689" s="3">
        <v>17</v>
      </c>
      <c r="Q689" s="2" t="s">
        <v>2</v>
      </c>
      <c r="R689" s="2" t="s">
        <v>3</v>
      </c>
      <c r="S689" s="2" t="s">
        <v>5</v>
      </c>
    </row>
    <row r="690" spans="1:19" x14ac:dyDescent="0.3">
      <c r="A690">
        <v>689</v>
      </c>
      <c r="B690" s="5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 s="4">
        <v>0.18179999999999999</v>
      </c>
      <c r="L690" s="3">
        <v>0.64</v>
      </c>
      <c r="M690" s="3">
        <v>0.1045</v>
      </c>
      <c r="N690" s="3">
        <v>2</v>
      </c>
      <c r="O690" s="3">
        <v>6</v>
      </c>
      <c r="P690" s="3">
        <v>8</v>
      </c>
      <c r="Q690" s="2" t="s">
        <v>2</v>
      </c>
      <c r="R690" s="2" t="s">
        <v>3</v>
      </c>
      <c r="S690" s="2" t="s">
        <v>0</v>
      </c>
    </row>
    <row r="691" spans="1:19" x14ac:dyDescent="0.3">
      <c r="A691">
        <v>690</v>
      </c>
      <c r="B691" s="5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 s="4">
        <v>0.18179999999999999</v>
      </c>
      <c r="L691" s="3">
        <v>0.69</v>
      </c>
      <c r="M691" s="3">
        <v>0.1045</v>
      </c>
      <c r="N691" s="3">
        <v>0</v>
      </c>
      <c r="O691" s="3">
        <v>3</v>
      </c>
      <c r="P691" s="3">
        <v>3</v>
      </c>
      <c r="Q691" s="2" t="s">
        <v>2</v>
      </c>
      <c r="R691" s="2" t="s">
        <v>3</v>
      </c>
      <c r="S691" s="2" t="s">
        <v>0</v>
      </c>
    </row>
    <row r="692" spans="1:19" x14ac:dyDescent="0.3">
      <c r="A692">
        <v>691</v>
      </c>
      <c r="B692" s="5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 s="4">
        <v>0.2273</v>
      </c>
      <c r="L692" s="3">
        <v>0.69</v>
      </c>
      <c r="M692" s="3">
        <v>0</v>
      </c>
      <c r="N692" s="3">
        <v>0</v>
      </c>
      <c r="O692" s="3">
        <v>2</v>
      </c>
      <c r="P692" s="3">
        <v>2</v>
      </c>
      <c r="Q692" s="2" t="s">
        <v>2</v>
      </c>
      <c r="R692" s="2" t="s">
        <v>3</v>
      </c>
      <c r="S692" s="2" t="s">
        <v>0</v>
      </c>
    </row>
    <row r="693" spans="1:19" x14ac:dyDescent="0.3">
      <c r="A693">
        <v>692</v>
      </c>
      <c r="B693" s="5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 s="4">
        <v>0.2273</v>
      </c>
      <c r="L693" s="3">
        <v>0.69</v>
      </c>
      <c r="M693" s="3">
        <v>0</v>
      </c>
      <c r="N693" s="3">
        <v>0</v>
      </c>
      <c r="O693" s="3">
        <v>2</v>
      </c>
      <c r="P693" s="3">
        <v>2</v>
      </c>
      <c r="Q693" s="2" t="s">
        <v>2</v>
      </c>
      <c r="R693" s="2" t="s">
        <v>3</v>
      </c>
      <c r="S693" s="2" t="s">
        <v>0</v>
      </c>
    </row>
    <row r="694" spans="1:19" x14ac:dyDescent="0.3">
      <c r="A694">
        <v>693</v>
      </c>
      <c r="B694" s="5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 s="4">
        <v>0.21210000000000001</v>
      </c>
      <c r="L694" s="3">
        <v>0.93</v>
      </c>
      <c r="M694" s="3">
        <v>0</v>
      </c>
      <c r="N694" s="3">
        <v>0</v>
      </c>
      <c r="O694" s="3">
        <v>3</v>
      </c>
      <c r="P694" s="3">
        <v>3</v>
      </c>
      <c r="Q694" s="2" t="s">
        <v>2</v>
      </c>
      <c r="R694" s="2" t="s">
        <v>4</v>
      </c>
      <c r="S694" s="2" t="s">
        <v>0</v>
      </c>
    </row>
    <row r="695" spans="1:19" x14ac:dyDescent="0.3">
      <c r="A695">
        <v>694</v>
      </c>
      <c r="B695" s="5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 s="4">
        <v>0.21210000000000001</v>
      </c>
      <c r="L695" s="3">
        <v>0.93</v>
      </c>
      <c r="M695" s="3">
        <v>0</v>
      </c>
      <c r="N695" s="3">
        <v>0</v>
      </c>
      <c r="O695" s="3">
        <v>22</v>
      </c>
      <c r="P695" s="3">
        <v>22</v>
      </c>
      <c r="Q695" s="2" t="s">
        <v>2</v>
      </c>
      <c r="R695" s="2" t="s">
        <v>4</v>
      </c>
      <c r="S695" s="2" t="s">
        <v>0</v>
      </c>
    </row>
    <row r="696" spans="1:19" x14ac:dyDescent="0.3">
      <c r="A696">
        <v>695</v>
      </c>
      <c r="B696" s="5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 s="4">
        <v>0.2273</v>
      </c>
      <c r="L696" s="3">
        <v>0.93</v>
      </c>
      <c r="M696" s="3">
        <v>0</v>
      </c>
      <c r="N696" s="3">
        <v>0</v>
      </c>
      <c r="O696" s="3">
        <v>52</v>
      </c>
      <c r="P696" s="3">
        <v>52</v>
      </c>
      <c r="Q696" s="2" t="s">
        <v>2</v>
      </c>
      <c r="R696" s="2" t="s">
        <v>4</v>
      </c>
      <c r="S696" s="2" t="s">
        <v>0</v>
      </c>
    </row>
    <row r="697" spans="1:19" x14ac:dyDescent="0.3">
      <c r="A697">
        <v>696</v>
      </c>
      <c r="B697" s="5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 s="4">
        <v>0.2273</v>
      </c>
      <c r="L697" s="3">
        <v>0.93</v>
      </c>
      <c r="M697" s="3">
        <v>0</v>
      </c>
      <c r="N697" s="3">
        <v>3</v>
      </c>
      <c r="O697" s="3">
        <v>132</v>
      </c>
      <c r="P697" s="3">
        <v>135</v>
      </c>
      <c r="Q697" s="2" t="s">
        <v>2</v>
      </c>
      <c r="R697" s="2" t="s">
        <v>4</v>
      </c>
      <c r="S697" s="2" t="s">
        <v>0</v>
      </c>
    </row>
    <row r="698" spans="1:19" x14ac:dyDescent="0.3">
      <c r="A698">
        <v>697</v>
      </c>
      <c r="B698" s="5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 s="4">
        <v>0.2273</v>
      </c>
      <c r="L698" s="3">
        <v>0.93</v>
      </c>
      <c r="M698" s="3">
        <v>0</v>
      </c>
      <c r="N698" s="3">
        <v>2</v>
      </c>
      <c r="O698" s="3">
        <v>114</v>
      </c>
      <c r="P698" s="3">
        <v>116</v>
      </c>
      <c r="Q698" s="2" t="s">
        <v>2</v>
      </c>
      <c r="R698" s="2" t="s">
        <v>3</v>
      </c>
      <c r="S698" s="2" t="s">
        <v>0</v>
      </c>
    </row>
    <row r="699" spans="1:19" x14ac:dyDescent="0.3">
      <c r="A699">
        <v>698</v>
      </c>
      <c r="B699" s="5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 s="4">
        <v>0.2273</v>
      </c>
      <c r="L699" s="3">
        <v>0.93</v>
      </c>
      <c r="M699" s="3">
        <v>0</v>
      </c>
      <c r="N699" s="3">
        <v>0</v>
      </c>
      <c r="O699" s="3">
        <v>47</v>
      </c>
      <c r="P699" s="3">
        <v>47</v>
      </c>
      <c r="Q699" s="2" t="s">
        <v>2</v>
      </c>
      <c r="R699" s="2" t="s">
        <v>3</v>
      </c>
      <c r="S699" s="2" t="s">
        <v>0</v>
      </c>
    </row>
    <row r="700" spans="1:19" x14ac:dyDescent="0.3">
      <c r="A700">
        <v>699</v>
      </c>
      <c r="B700" s="5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 s="4">
        <v>0.2424</v>
      </c>
      <c r="L700" s="3">
        <v>0.86</v>
      </c>
      <c r="M700" s="3">
        <v>0</v>
      </c>
      <c r="N700" s="3">
        <v>2</v>
      </c>
      <c r="O700" s="3">
        <v>49</v>
      </c>
      <c r="P700" s="3">
        <v>51</v>
      </c>
      <c r="Q700" s="2" t="s">
        <v>2</v>
      </c>
      <c r="R700" s="2" t="s">
        <v>3</v>
      </c>
      <c r="S700" s="2" t="s">
        <v>0</v>
      </c>
    </row>
    <row r="701" spans="1:19" x14ac:dyDescent="0.3">
      <c r="A701">
        <v>700</v>
      </c>
      <c r="B701" s="5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 s="4">
        <v>0.2576</v>
      </c>
      <c r="L701" s="3">
        <v>0.86</v>
      </c>
      <c r="M701" s="3">
        <v>0</v>
      </c>
      <c r="N701" s="3">
        <v>2</v>
      </c>
      <c r="O701" s="3">
        <v>53</v>
      </c>
      <c r="P701" s="3">
        <v>55</v>
      </c>
      <c r="Q701" s="2" t="s">
        <v>2</v>
      </c>
      <c r="R701" s="2" t="s">
        <v>3</v>
      </c>
      <c r="S701" s="2" t="s">
        <v>0</v>
      </c>
    </row>
    <row r="702" spans="1:19" x14ac:dyDescent="0.3">
      <c r="A702">
        <v>701</v>
      </c>
      <c r="B702" s="5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 s="4">
        <v>0.2576</v>
      </c>
      <c r="L702" s="3">
        <v>0.86</v>
      </c>
      <c r="M702" s="3">
        <v>0</v>
      </c>
      <c r="N702" s="3">
        <v>3</v>
      </c>
      <c r="O702" s="3">
        <v>49</v>
      </c>
      <c r="P702" s="3">
        <v>52</v>
      </c>
      <c r="Q702" s="2" t="s">
        <v>2</v>
      </c>
      <c r="R702" s="2" t="s">
        <v>3</v>
      </c>
      <c r="S702" s="2" t="s">
        <v>0</v>
      </c>
    </row>
    <row r="703" spans="1:19" x14ac:dyDescent="0.3">
      <c r="A703">
        <v>702</v>
      </c>
      <c r="B703" s="5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 s="4">
        <v>0.2576</v>
      </c>
      <c r="L703" s="3">
        <v>0.8</v>
      </c>
      <c r="M703" s="3">
        <v>8.9599999999999999E-2</v>
      </c>
      <c r="N703" s="3">
        <v>5</v>
      </c>
      <c r="O703" s="3">
        <v>49</v>
      </c>
      <c r="P703" s="3">
        <v>54</v>
      </c>
      <c r="Q703" s="2" t="s">
        <v>2</v>
      </c>
      <c r="R703" s="2" t="s">
        <v>3</v>
      </c>
      <c r="S703" s="2" t="s">
        <v>0</v>
      </c>
    </row>
    <row r="704" spans="1:19" x14ac:dyDescent="0.3">
      <c r="A704">
        <v>703</v>
      </c>
      <c r="B704" s="5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 s="4">
        <v>0.28789999999999999</v>
      </c>
      <c r="L704" s="3">
        <v>0.75</v>
      </c>
      <c r="M704" s="3">
        <v>0</v>
      </c>
      <c r="N704" s="3">
        <v>7</v>
      </c>
      <c r="O704" s="3">
        <v>45</v>
      </c>
      <c r="P704" s="3">
        <v>52</v>
      </c>
      <c r="Q704" s="2" t="s">
        <v>2</v>
      </c>
      <c r="R704" s="2" t="s">
        <v>3</v>
      </c>
      <c r="S704" s="2" t="s">
        <v>0</v>
      </c>
    </row>
    <row r="705" spans="1:19" x14ac:dyDescent="0.3">
      <c r="A705">
        <v>704</v>
      </c>
      <c r="B705" s="5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 s="4">
        <v>0.2424</v>
      </c>
      <c r="L705" s="3">
        <v>0.75</v>
      </c>
      <c r="M705" s="3">
        <v>0.1343</v>
      </c>
      <c r="N705" s="3">
        <v>3</v>
      </c>
      <c r="O705" s="3">
        <v>61</v>
      </c>
      <c r="P705" s="3">
        <v>64</v>
      </c>
      <c r="Q705" s="2" t="s">
        <v>2</v>
      </c>
      <c r="R705" s="2" t="s">
        <v>3</v>
      </c>
      <c r="S705" s="2" t="s">
        <v>0</v>
      </c>
    </row>
    <row r="706" spans="1:19" x14ac:dyDescent="0.3">
      <c r="A706">
        <v>705</v>
      </c>
      <c r="B706" s="5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 s="4">
        <v>0.28789999999999999</v>
      </c>
      <c r="L706" s="3">
        <v>0.75</v>
      </c>
      <c r="M706" s="3">
        <v>0</v>
      </c>
      <c r="N706" s="3">
        <v>4</v>
      </c>
      <c r="O706" s="3">
        <v>172</v>
      </c>
      <c r="P706" s="3">
        <v>176</v>
      </c>
      <c r="Q706" s="2" t="s">
        <v>2</v>
      </c>
      <c r="R706" s="2" t="s">
        <v>3</v>
      </c>
      <c r="S706" s="2" t="s">
        <v>0</v>
      </c>
    </row>
    <row r="707" spans="1:19" x14ac:dyDescent="0.3">
      <c r="A707">
        <v>706</v>
      </c>
      <c r="B707" s="5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 s="4">
        <v>0.2576</v>
      </c>
      <c r="L707" s="3">
        <v>0.81</v>
      </c>
      <c r="M707" s="3">
        <v>0.1045</v>
      </c>
      <c r="N707" s="3">
        <v>3</v>
      </c>
      <c r="O707" s="3">
        <v>165</v>
      </c>
      <c r="P707" s="3">
        <v>168</v>
      </c>
      <c r="Q707" s="2" t="s">
        <v>2</v>
      </c>
      <c r="R707" s="2" t="s">
        <v>3</v>
      </c>
      <c r="S707" s="2" t="s">
        <v>0</v>
      </c>
    </row>
    <row r="708" spans="1:19" x14ac:dyDescent="0.3">
      <c r="A708">
        <v>707</v>
      </c>
      <c r="B708" s="5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 s="4">
        <v>0.2424</v>
      </c>
      <c r="L708" s="3">
        <v>0.81</v>
      </c>
      <c r="M708" s="3">
        <v>0.1343</v>
      </c>
      <c r="N708" s="3">
        <v>3</v>
      </c>
      <c r="O708" s="3">
        <v>105</v>
      </c>
      <c r="P708" s="3">
        <v>108</v>
      </c>
      <c r="Q708" s="2" t="s">
        <v>2</v>
      </c>
      <c r="R708" s="2" t="s">
        <v>3</v>
      </c>
      <c r="S708" s="2" t="s">
        <v>0</v>
      </c>
    </row>
    <row r="709" spans="1:19" x14ac:dyDescent="0.3">
      <c r="A709">
        <v>708</v>
      </c>
      <c r="B709" s="5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 s="4">
        <v>0.2273</v>
      </c>
      <c r="L709" s="3">
        <v>0.87</v>
      </c>
      <c r="M709" s="3">
        <v>0.1343</v>
      </c>
      <c r="N709" s="3">
        <v>5</v>
      </c>
      <c r="O709" s="3">
        <v>69</v>
      </c>
      <c r="P709" s="3">
        <v>74</v>
      </c>
      <c r="Q709" s="2" t="s">
        <v>2</v>
      </c>
      <c r="R709" s="2" t="s">
        <v>3</v>
      </c>
      <c r="S709" s="2" t="s">
        <v>0</v>
      </c>
    </row>
    <row r="710" spans="1:19" x14ac:dyDescent="0.3">
      <c r="A710">
        <v>709</v>
      </c>
      <c r="B710" s="5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 s="4">
        <v>0.2273</v>
      </c>
      <c r="L710" s="3">
        <v>0.87</v>
      </c>
      <c r="M710" s="3">
        <v>0.1343</v>
      </c>
      <c r="N710" s="3">
        <v>0</v>
      </c>
      <c r="O710" s="3">
        <v>64</v>
      </c>
      <c r="P710" s="3">
        <v>64</v>
      </c>
      <c r="Q710" s="2" t="s">
        <v>2</v>
      </c>
      <c r="R710" s="2" t="s">
        <v>3</v>
      </c>
      <c r="S710" s="2" t="s">
        <v>0</v>
      </c>
    </row>
    <row r="711" spans="1:19" x14ac:dyDescent="0.3">
      <c r="A711">
        <v>710</v>
      </c>
      <c r="B711" s="5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 s="4">
        <v>0.2576</v>
      </c>
      <c r="L711" s="3">
        <v>0.87</v>
      </c>
      <c r="M711" s="3">
        <v>8.9599999999999999E-2</v>
      </c>
      <c r="N711" s="3">
        <v>2</v>
      </c>
      <c r="O711" s="3">
        <v>34</v>
      </c>
      <c r="P711" s="3">
        <v>36</v>
      </c>
      <c r="Q711" s="2" t="s">
        <v>2</v>
      </c>
      <c r="R711" s="2" t="s">
        <v>3</v>
      </c>
      <c r="S711" s="2" t="s">
        <v>0</v>
      </c>
    </row>
    <row r="712" spans="1:19" x14ac:dyDescent="0.3">
      <c r="A712">
        <v>711</v>
      </c>
      <c r="B712" s="5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 s="4">
        <v>0.19700000000000001</v>
      </c>
      <c r="L712" s="3">
        <v>0.93</v>
      </c>
      <c r="M712" s="3">
        <v>0.19400000000000001</v>
      </c>
      <c r="N712" s="3">
        <v>1</v>
      </c>
      <c r="O712" s="3">
        <v>15</v>
      </c>
      <c r="P712" s="3">
        <v>16</v>
      </c>
      <c r="Q712" s="2" t="s">
        <v>2</v>
      </c>
      <c r="R712" s="2" t="s">
        <v>4</v>
      </c>
      <c r="S712" s="2" t="s">
        <v>0</v>
      </c>
    </row>
    <row r="713" spans="1:19" x14ac:dyDescent="0.3">
      <c r="A713">
        <v>712</v>
      </c>
      <c r="B713" s="5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 s="4">
        <v>0.2424</v>
      </c>
      <c r="L713" s="3">
        <v>0.93</v>
      </c>
      <c r="M713" s="3">
        <v>0.1045</v>
      </c>
      <c r="N713" s="3">
        <v>0</v>
      </c>
      <c r="O713" s="3">
        <v>2</v>
      </c>
      <c r="P713" s="3">
        <v>2</v>
      </c>
      <c r="Q713" s="2" t="s">
        <v>2</v>
      </c>
      <c r="R713" s="2" t="s">
        <v>4</v>
      </c>
      <c r="S713" s="2" t="s">
        <v>0</v>
      </c>
    </row>
    <row r="714" spans="1:19" x14ac:dyDescent="0.3">
      <c r="A714">
        <v>713</v>
      </c>
      <c r="B714" s="5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 s="4">
        <v>0.2273</v>
      </c>
      <c r="L714" s="3">
        <v>0.93</v>
      </c>
      <c r="M714" s="3">
        <v>0.19400000000000001</v>
      </c>
      <c r="N714" s="3">
        <v>0</v>
      </c>
      <c r="O714" s="3">
        <v>3</v>
      </c>
      <c r="P714" s="3">
        <v>3</v>
      </c>
      <c r="Q714" s="2" t="s">
        <v>2</v>
      </c>
      <c r="R714" s="2" t="s">
        <v>4</v>
      </c>
      <c r="S714" s="2" t="s">
        <v>0</v>
      </c>
    </row>
    <row r="715" spans="1:19" x14ac:dyDescent="0.3">
      <c r="A715">
        <v>714</v>
      </c>
      <c r="B715" s="5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 s="4">
        <v>0.2273</v>
      </c>
      <c r="L715" s="3">
        <v>0.93</v>
      </c>
      <c r="M715" s="3">
        <v>0.1343</v>
      </c>
      <c r="N715" s="3">
        <v>4</v>
      </c>
      <c r="O715" s="3">
        <v>0</v>
      </c>
      <c r="P715" s="3">
        <v>4</v>
      </c>
      <c r="Q715" s="2" t="s">
        <v>2</v>
      </c>
      <c r="R715" s="2" t="s">
        <v>4</v>
      </c>
      <c r="S715" s="2" t="s">
        <v>0</v>
      </c>
    </row>
    <row r="716" spans="1:19" x14ac:dyDescent="0.3">
      <c r="A716">
        <v>715</v>
      </c>
      <c r="B716" s="5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 s="4">
        <v>0.2273</v>
      </c>
      <c r="L716" s="3">
        <v>0.93</v>
      </c>
      <c r="M716" s="3">
        <v>0.1343</v>
      </c>
      <c r="N716" s="3">
        <v>0</v>
      </c>
      <c r="O716" s="3">
        <v>1</v>
      </c>
      <c r="P716" s="3">
        <v>1</v>
      </c>
      <c r="Q716" s="2" t="s">
        <v>2</v>
      </c>
      <c r="R716" s="2" t="s">
        <v>4</v>
      </c>
      <c r="S716" s="2" t="s">
        <v>0</v>
      </c>
    </row>
    <row r="717" spans="1:19" x14ac:dyDescent="0.3">
      <c r="A717">
        <v>716</v>
      </c>
      <c r="B717" s="5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 s="4">
        <v>0.21210000000000001</v>
      </c>
      <c r="L717" s="3">
        <v>0.93</v>
      </c>
      <c r="M717" s="3">
        <v>0.28360000000000002</v>
      </c>
      <c r="N717" s="3">
        <v>0</v>
      </c>
      <c r="O717" s="3">
        <v>1</v>
      </c>
      <c r="P717" s="3">
        <v>1</v>
      </c>
      <c r="Q717" s="2" t="s">
        <v>2</v>
      </c>
      <c r="R717" s="2" t="s">
        <v>4</v>
      </c>
      <c r="S717" s="2" t="s">
        <v>0</v>
      </c>
    </row>
    <row r="718" spans="1:19" x14ac:dyDescent="0.3">
      <c r="A718">
        <v>717</v>
      </c>
      <c r="B718" s="5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 s="4">
        <v>0.2424</v>
      </c>
      <c r="L718" s="3">
        <v>0.93</v>
      </c>
      <c r="M718" s="3">
        <v>0.1045</v>
      </c>
      <c r="N718" s="3">
        <v>0</v>
      </c>
      <c r="O718" s="3">
        <v>3</v>
      </c>
      <c r="P718" s="3">
        <v>3</v>
      </c>
      <c r="Q718" s="2" t="s">
        <v>2</v>
      </c>
      <c r="R718" s="2" t="s">
        <v>4</v>
      </c>
      <c r="S718" s="2" t="s">
        <v>0</v>
      </c>
    </row>
    <row r="719" spans="1:19" x14ac:dyDescent="0.3">
      <c r="A719">
        <v>718</v>
      </c>
      <c r="B719" s="5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 s="4">
        <v>0.2424</v>
      </c>
      <c r="L719" s="3">
        <v>0.93</v>
      </c>
      <c r="M719" s="3">
        <v>0.1045</v>
      </c>
      <c r="N719" s="3">
        <v>1</v>
      </c>
      <c r="O719" s="3">
        <v>17</v>
      </c>
      <c r="P719" s="3">
        <v>18</v>
      </c>
      <c r="Q719" s="2" t="s">
        <v>2</v>
      </c>
      <c r="R719" s="2" t="s">
        <v>4</v>
      </c>
      <c r="S719" s="2" t="s">
        <v>0</v>
      </c>
    </row>
    <row r="720" spans="1:19" x14ac:dyDescent="0.3">
      <c r="A720">
        <v>719</v>
      </c>
      <c r="B720" s="5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 s="4">
        <v>0.21210000000000001</v>
      </c>
      <c r="L720" s="3">
        <v>0.93</v>
      </c>
      <c r="M720" s="3">
        <v>0.22389999999999999</v>
      </c>
      <c r="N720" s="3">
        <v>1</v>
      </c>
      <c r="O720" s="3">
        <v>48</v>
      </c>
      <c r="P720" s="3">
        <v>49</v>
      </c>
      <c r="Q720" s="2" t="s">
        <v>2</v>
      </c>
      <c r="R720" s="2" t="s">
        <v>4</v>
      </c>
      <c r="S720" s="2" t="s">
        <v>0</v>
      </c>
    </row>
    <row r="721" spans="1:19" x14ac:dyDescent="0.3">
      <c r="A721">
        <v>720</v>
      </c>
      <c r="B721" s="5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 s="4">
        <v>0.21210000000000001</v>
      </c>
      <c r="L721" s="3">
        <v>0.93</v>
      </c>
      <c r="M721" s="3">
        <v>0.22389999999999999</v>
      </c>
      <c r="N721" s="3">
        <v>1</v>
      </c>
      <c r="O721" s="3">
        <v>154</v>
      </c>
      <c r="P721" s="3">
        <v>155</v>
      </c>
      <c r="Q721" s="2" t="s">
        <v>2</v>
      </c>
      <c r="R721" s="2" t="s">
        <v>4</v>
      </c>
      <c r="S721" s="2" t="s">
        <v>0</v>
      </c>
    </row>
    <row r="722" spans="1:19" x14ac:dyDescent="0.3">
      <c r="A722">
        <v>721</v>
      </c>
      <c r="B722" s="5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 s="4">
        <v>0.2576</v>
      </c>
      <c r="L722" s="3">
        <v>0.93</v>
      </c>
      <c r="M722" s="3">
        <v>8.9599999999999999E-2</v>
      </c>
      <c r="N722" s="3">
        <v>4</v>
      </c>
      <c r="O722" s="3">
        <v>119</v>
      </c>
      <c r="P722" s="3">
        <v>123</v>
      </c>
      <c r="Q722" s="2" t="s">
        <v>2</v>
      </c>
      <c r="R722" s="2" t="s">
        <v>3</v>
      </c>
      <c r="S722" s="2" t="s">
        <v>0</v>
      </c>
    </row>
    <row r="723" spans="1:19" x14ac:dyDescent="0.3">
      <c r="A723">
        <v>722</v>
      </c>
      <c r="B723" s="5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 s="4">
        <v>0.2727</v>
      </c>
      <c r="L723" s="3">
        <v>1</v>
      </c>
      <c r="M723" s="3">
        <v>0</v>
      </c>
      <c r="N723" s="3">
        <v>2</v>
      </c>
      <c r="O723" s="3">
        <v>59</v>
      </c>
      <c r="P723" s="3">
        <v>61</v>
      </c>
      <c r="Q723" s="2" t="s">
        <v>2</v>
      </c>
      <c r="R723" s="2" t="s">
        <v>3</v>
      </c>
      <c r="S723" s="2" t="s">
        <v>0</v>
      </c>
    </row>
    <row r="724" spans="1:19" x14ac:dyDescent="0.3">
      <c r="A724">
        <v>723</v>
      </c>
      <c r="B724" s="5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 s="4">
        <v>0.2273</v>
      </c>
      <c r="L724" s="3">
        <v>0.93</v>
      </c>
      <c r="M724" s="3">
        <v>0.19400000000000001</v>
      </c>
      <c r="N724" s="3">
        <v>5</v>
      </c>
      <c r="O724" s="3">
        <v>47</v>
      </c>
      <c r="P724" s="3">
        <v>52</v>
      </c>
      <c r="Q724" s="2" t="s">
        <v>2</v>
      </c>
      <c r="R724" s="2" t="s">
        <v>3</v>
      </c>
      <c r="S724" s="2" t="s">
        <v>0</v>
      </c>
    </row>
    <row r="725" spans="1:19" x14ac:dyDescent="0.3">
      <c r="A725">
        <v>724</v>
      </c>
      <c r="B725" s="5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 s="4">
        <v>0.2273</v>
      </c>
      <c r="L725" s="3">
        <v>0.93</v>
      </c>
      <c r="M725" s="3">
        <v>0.22389999999999999</v>
      </c>
      <c r="N725" s="3">
        <v>3</v>
      </c>
      <c r="O725" s="3">
        <v>61</v>
      </c>
      <c r="P725" s="3">
        <v>64</v>
      </c>
      <c r="Q725" s="2" t="s">
        <v>2</v>
      </c>
      <c r="R725" s="2" t="s">
        <v>3</v>
      </c>
      <c r="S725" s="2" t="s">
        <v>0</v>
      </c>
    </row>
    <row r="726" spans="1:19" x14ac:dyDescent="0.3">
      <c r="A726">
        <v>725</v>
      </c>
      <c r="B726" s="5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 s="4">
        <v>0.33329999999999999</v>
      </c>
      <c r="L726" s="3">
        <v>0.93</v>
      </c>
      <c r="M726" s="3">
        <v>0.16420000000000001</v>
      </c>
      <c r="N726" s="3">
        <v>1</v>
      </c>
      <c r="O726" s="3">
        <v>74</v>
      </c>
      <c r="P726" s="3">
        <v>75</v>
      </c>
      <c r="Q726" s="2" t="s">
        <v>2</v>
      </c>
      <c r="R726" s="2" t="s">
        <v>1</v>
      </c>
      <c r="S726" s="2" t="s">
        <v>0</v>
      </c>
    </row>
    <row r="727" spans="1:19" x14ac:dyDescent="0.3">
      <c r="A727">
        <v>726</v>
      </c>
      <c r="B727" s="5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 s="4">
        <v>0.39389999999999997</v>
      </c>
      <c r="L727" s="3">
        <v>0.82</v>
      </c>
      <c r="M727" s="3">
        <v>0.3881</v>
      </c>
      <c r="N727" s="3">
        <v>2</v>
      </c>
      <c r="O727" s="3">
        <v>61</v>
      </c>
      <c r="P727" s="3">
        <v>63</v>
      </c>
      <c r="Q727" s="2" t="s">
        <v>2</v>
      </c>
      <c r="R727" s="2" t="s">
        <v>1</v>
      </c>
      <c r="S727" s="2" t="s">
        <v>0</v>
      </c>
    </row>
    <row r="728" spans="1:19" x14ac:dyDescent="0.3">
      <c r="A728">
        <v>727</v>
      </c>
      <c r="B728" s="5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 s="4">
        <v>0.39389999999999997</v>
      </c>
      <c r="L728" s="3">
        <v>0.76</v>
      </c>
      <c r="M728" s="3">
        <v>0.32840000000000003</v>
      </c>
      <c r="N728" s="3">
        <v>10</v>
      </c>
      <c r="O728" s="3">
        <v>66</v>
      </c>
      <c r="P728" s="3">
        <v>76</v>
      </c>
      <c r="Q728" s="2" t="s">
        <v>2</v>
      </c>
      <c r="R728" s="2" t="s">
        <v>1</v>
      </c>
      <c r="S728" s="2" t="s">
        <v>0</v>
      </c>
    </row>
    <row r="729" spans="1:19" x14ac:dyDescent="0.3">
      <c r="A729">
        <v>728</v>
      </c>
      <c r="B729" s="5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 s="4">
        <v>0.33329999999999999</v>
      </c>
      <c r="L729" s="3">
        <v>0.71</v>
      </c>
      <c r="M729" s="3">
        <v>0.29849999999999999</v>
      </c>
      <c r="N729" s="3">
        <v>8</v>
      </c>
      <c r="O729" s="3">
        <v>95</v>
      </c>
      <c r="P729" s="3">
        <v>103</v>
      </c>
      <c r="Q729" s="2" t="s">
        <v>2</v>
      </c>
      <c r="R729" s="2" t="s">
        <v>1</v>
      </c>
      <c r="S729" s="2" t="s">
        <v>0</v>
      </c>
    </row>
    <row r="730" spans="1:19" x14ac:dyDescent="0.3">
      <c r="A730">
        <v>729</v>
      </c>
      <c r="B730" s="5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 s="4">
        <v>0.31819999999999998</v>
      </c>
      <c r="L730" s="3">
        <v>0.53</v>
      </c>
      <c r="M730" s="3">
        <v>0.52239999999999998</v>
      </c>
      <c r="N730" s="3">
        <v>7</v>
      </c>
      <c r="O730" s="3">
        <v>183</v>
      </c>
      <c r="P730" s="3">
        <v>190</v>
      </c>
      <c r="Q730" s="2" t="s">
        <v>2</v>
      </c>
      <c r="R730" s="2" t="s">
        <v>1</v>
      </c>
      <c r="S730" s="2" t="s">
        <v>0</v>
      </c>
    </row>
    <row r="731" spans="1:19" x14ac:dyDescent="0.3">
      <c r="A731">
        <v>730</v>
      </c>
      <c r="B731" s="5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 s="4">
        <v>0.28789999999999999</v>
      </c>
      <c r="L731" s="3">
        <v>0.42</v>
      </c>
      <c r="M731" s="3">
        <v>0.55220000000000002</v>
      </c>
      <c r="N731" s="3">
        <v>7</v>
      </c>
      <c r="O731" s="3">
        <v>175</v>
      </c>
      <c r="P731" s="3">
        <v>182</v>
      </c>
      <c r="Q731" s="2" t="s">
        <v>2</v>
      </c>
      <c r="R731" s="2" t="s">
        <v>1</v>
      </c>
      <c r="S731" s="2" t="s">
        <v>0</v>
      </c>
    </row>
    <row r="732" spans="1:19" x14ac:dyDescent="0.3">
      <c r="A732">
        <v>731</v>
      </c>
      <c r="B732" s="5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 s="4">
        <v>0.2424</v>
      </c>
      <c r="L732" s="3">
        <v>0.45</v>
      </c>
      <c r="M732" s="3">
        <v>0.49249999999999999</v>
      </c>
      <c r="N732" s="3">
        <v>3</v>
      </c>
      <c r="O732" s="3">
        <v>88</v>
      </c>
      <c r="P732" s="3">
        <v>91</v>
      </c>
      <c r="Q732" s="2" t="s">
        <v>2</v>
      </c>
      <c r="R732" s="2" t="s">
        <v>1</v>
      </c>
      <c r="S732" s="2" t="s">
        <v>0</v>
      </c>
    </row>
    <row r="733" spans="1:19" x14ac:dyDescent="0.3">
      <c r="A733">
        <v>732</v>
      </c>
      <c r="B733" s="5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 s="4">
        <v>0.19700000000000001</v>
      </c>
      <c r="L733" s="3">
        <v>0.48</v>
      </c>
      <c r="M733" s="3">
        <v>0.55220000000000002</v>
      </c>
      <c r="N733" s="3">
        <v>4</v>
      </c>
      <c r="O733" s="3">
        <v>71</v>
      </c>
      <c r="P733" s="3">
        <v>75</v>
      </c>
      <c r="Q733" s="2" t="s">
        <v>2</v>
      </c>
      <c r="R733" s="2" t="s">
        <v>1</v>
      </c>
      <c r="S733" s="2" t="s">
        <v>0</v>
      </c>
    </row>
    <row r="734" spans="1:19" x14ac:dyDescent="0.3">
      <c r="A734">
        <v>733</v>
      </c>
      <c r="B734" s="5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 s="4">
        <v>0.19700000000000001</v>
      </c>
      <c r="L734" s="3">
        <v>0.47</v>
      </c>
      <c r="M734" s="3">
        <v>0.32840000000000003</v>
      </c>
      <c r="N734" s="3">
        <v>1</v>
      </c>
      <c r="O734" s="3">
        <v>62</v>
      </c>
      <c r="P734" s="3">
        <v>63</v>
      </c>
      <c r="Q734" s="2" t="s">
        <v>2</v>
      </c>
      <c r="R734" s="2" t="s">
        <v>1</v>
      </c>
      <c r="S734" s="2" t="s">
        <v>0</v>
      </c>
    </row>
    <row r="735" spans="1:19" x14ac:dyDescent="0.3">
      <c r="A735">
        <v>734</v>
      </c>
      <c r="B735" s="5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 s="4">
        <v>0.21210000000000001</v>
      </c>
      <c r="L735" s="3">
        <v>0.44</v>
      </c>
      <c r="M735" s="3">
        <v>0.25369999999999998</v>
      </c>
      <c r="N735" s="3">
        <v>5</v>
      </c>
      <c r="O735" s="3">
        <v>35</v>
      </c>
      <c r="P735" s="3">
        <v>40</v>
      </c>
      <c r="Q735" s="2" t="s">
        <v>2</v>
      </c>
      <c r="R735" s="2" t="s">
        <v>1</v>
      </c>
      <c r="S735" s="2" t="s">
        <v>0</v>
      </c>
    </row>
    <row r="736" spans="1:19" x14ac:dyDescent="0.3">
      <c r="A736">
        <v>735</v>
      </c>
      <c r="B736" s="5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 s="4">
        <v>0.16669999999999999</v>
      </c>
      <c r="L736" s="3">
        <v>0.44</v>
      </c>
      <c r="M736" s="3">
        <v>0.44779999999999998</v>
      </c>
      <c r="N736" s="3">
        <v>3</v>
      </c>
      <c r="O736" s="3">
        <v>29</v>
      </c>
      <c r="P736" s="3">
        <v>32</v>
      </c>
      <c r="Q736" s="2" t="s">
        <v>2</v>
      </c>
      <c r="R736" s="2" t="s">
        <v>1</v>
      </c>
      <c r="S736" s="2" t="s">
        <v>0</v>
      </c>
    </row>
    <row r="737" spans="1:19" x14ac:dyDescent="0.3">
      <c r="A737">
        <v>736</v>
      </c>
      <c r="B737" s="5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 s="4">
        <v>0.16669999999999999</v>
      </c>
      <c r="L737" s="3">
        <v>0.4</v>
      </c>
      <c r="M737" s="3">
        <v>0.44779999999999998</v>
      </c>
      <c r="N737" s="3">
        <v>1</v>
      </c>
      <c r="O737" s="3">
        <v>11</v>
      </c>
      <c r="P737" s="3">
        <v>12</v>
      </c>
      <c r="Q737" s="2" t="s">
        <v>2</v>
      </c>
      <c r="R737" s="2" t="s">
        <v>1</v>
      </c>
      <c r="S737" s="2" t="s">
        <v>0</v>
      </c>
    </row>
    <row r="738" spans="1:19" x14ac:dyDescent="0.3">
      <c r="A738">
        <v>737</v>
      </c>
      <c r="B738" s="5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 s="4">
        <v>0.1515</v>
      </c>
      <c r="L738" s="3">
        <v>0.44</v>
      </c>
      <c r="M738" s="3">
        <v>0.52239999999999998</v>
      </c>
      <c r="N738" s="3">
        <v>0</v>
      </c>
      <c r="O738" s="3">
        <v>5</v>
      </c>
      <c r="P738" s="3">
        <v>5</v>
      </c>
      <c r="Q738" s="2" t="s">
        <v>2</v>
      </c>
      <c r="R738" s="2" t="s">
        <v>1</v>
      </c>
      <c r="S738" s="2" t="s">
        <v>0</v>
      </c>
    </row>
    <row r="739" spans="1:19" x14ac:dyDescent="0.3">
      <c r="A739">
        <v>738</v>
      </c>
      <c r="B739" s="5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 s="4">
        <v>0.16669999999999999</v>
      </c>
      <c r="L739" s="3">
        <v>0.43</v>
      </c>
      <c r="M739" s="3">
        <v>0.25369999999999998</v>
      </c>
      <c r="N739" s="3">
        <v>0</v>
      </c>
      <c r="O739" s="3">
        <v>2</v>
      </c>
      <c r="P739" s="3">
        <v>2</v>
      </c>
      <c r="Q739" s="2" t="s">
        <v>2</v>
      </c>
      <c r="R739" s="2" t="s">
        <v>1</v>
      </c>
      <c r="S739" s="2" t="s">
        <v>0</v>
      </c>
    </row>
    <row r="740" spans="1:19" x14ac:dyDescent="0.3">
      <c r="A740">
        <v>739</v>
      </c>
      <c r="B740" s="5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 s="4">
        <v>0.16669999999999999</v>
      </c>
      <c r="L740" s="3">
        <v>0.43</v>
      </c>
      <c r="M740" s="3">
        <v>0.25369999999999998</v>
      </c>
      <c r="N740" s="3">
        <v>0</v>
      </c>
      <c r="O740" s="3">
        <v>1</v>
      </c>
      <c r="P740" s="3">
        <v>1</v>
      </c>
      <c r="Q740" s="2" t="s">
        <v>2</v>
      </c>
      <c r="R740" s="2" t="s">
        <v>1</v>
      </c>
      <c r="S740" s="2" t="s">
        <v>0</v>
      </c>
    </row>
    <row r="741" spans="1:19" x14ac:dyDescent="0.3">
      <c r="A741">
        <v>740</v>
      </c>
      <c r="B741" s="5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 s="4">
        <v>0.13639999999999999</v>
      </c>
      <c r="L741" s="3">
        <v>0.5</v>
      </c>
      <c r="M741" s="3">
        <v>0.29849999999999999</v>
      </c>
      <c r="N741" s="3">
        <v>0</v>
      </c>
      <c r="O741" s="3">
        <v>2</v>
      </c>
      <c r="P741" s="3">
        <v>2</v>
      </c>
      <c r="Q741" s="2" t="s">
        <v>2</v>
      </c>
      <c r="R741" s="2" t="s">
        <v>1</v>
      </c>
      <c r="S741" s="2" t="s">
        <v>0</v>
      </c>
    </row>
    <row r="742" spans="1:19" x14ac:dyDescent="0.3">
      <c r="A742">
        <v>741</v>
      </c>
      <c r="B742" s="5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 s="4">
        <v>0.13639999999999999</v>
      </c>
      <c r="L742" s="3">
        <v>0.43</v>
      </c>
      <c r="M742" s="3">
        <v>0.35820000000000002</v>
      </c>
      <c r="N742" s="3">
        <v>0</v>
      </c>
      <c r="O742" s="3">
        <v>39</v>
      </c>
      <c r="P742" s="3">
        <v>39</v>
      </c>
      <c r="Q742" s="2" t="s">
        <v>2</v>
      </c>
      <c r="R742" s="2" t="s">
        <v>1</v>
      </c>
      <c r="S742" s="2" t="s">
        <v>0</v>
      </c>
    </row>
    <row r="743" spans="1:19" x14ac:dyDescent="0.3">
      <c r="A743">
        <v>742</v>
      </c>
      <c r="B743" s="5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 s="4">
        <v>0.1212</v>
      </c>
      <c r="L743" s="3">
        <v>0.5</v>
      </c>
      <c r="M743" s="3">
        <v>0.32840000000000003</v>
      </c>
      <c r="N743" s="3">
        <v>1</v>
      </c>
      <c r="O743" s="3">
        <v>86</v>
      </c>
      <c r="P743" s="3">
        <v>87</v>
      </c>
      <c r="Q743" s="2" t="s">
        <v>2</v>
      </c>
      <c r="R743" s="2" t="s">
        <v>1</v>
      </c>
      <c r="S743" s="2" t="s">
        <v>0</v>
      </c>
    </row>
    <row r="744" spans="1:19" x14ac:dyDescent="0.3">
      <c r="A744">
        <v>743</v>
      </c>
      <c r="B744" s="5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 s="4">
        <v>0.1212</v>
      </c>
      <c r="L744" s="3">
        <v>0.5</v>
      </c>
      <c r="M744" s="3">
        <v>0.35820000000000002</v>
      </c>
      <c r="N744" s="3">
        <v>4</v>
      </c>
      <c r="O744" s="3">
        <v>184</v>
      </c>
      <c r="P744" s="3">
        <v>188</v>
      </c>
      <c r="Q744" s="2" t="s">
        <v>2</v>
      </c>
      <c r="R744" s="2" t="s">
        <v>1</v>
      </c>
      <c r="S744" s="2" t="s">
        <v>0</v>
      </c>
    </row>
    <row r="745" spans="1:19" x14ac:dyDescent="0.3">
      <c r="A745">
        <v>744</v>
      </c>
      <c r="B745" s="5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 s="4">
        <v>0.13639999999999999</v>
      </c>
      <c r="L745" s="3">
        <v>0.47</v>
      </c>
      <c r="M745" s="3">
        <v>0.29849999999999999</v>
      </c>
      <c r="N745" s="3">
        <v>6</v>
      </c>
      <c r="O745" s="3">
        <v>127</v>
      </c>
      <c r="P745" s="3">
        <v>133</v>
      </c>
      <c r="Q745" s="2" t="s">
        <v>2</v>
      </c>
      <c r="R745" s="2" t="s">
        <v>1</v>
      </c>
      <c r="S745" s="2" t="s">
        <v>0</v>
      </c>
    </row>
    <row r="746" spans="1:19" x14ac:dyDescent="0.3">
      <c r="A746">
        <v>745</v>
      </c>
      <c r="B746" s="5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 s="4">
        <v>0.1515</v>
      </c>
      <c r="L746" s="3">
        <v>0.43</v>
      </c>
      <c r="M746" s="3">
        <v>0.32840000000000003</v>
      </c>
      <c r="N746" s="3">
        <v>2</v>
      </c>
      <c r="O746" s="3">
        <v>50</v>
      </c>
      <c r="P746" s="3">
        <v>52</v>
      </c>
      <c r="Q746" s="2" t="s">
        <v>2</v>
      </c>
      <c r="R746" s="2" t="s">
        <v>1</v>
      </c>
      <c r="S746" s="2" t="s">
        <v>0</v>
      </c>
    </row>
    <row r="747" spans="1:19" x14ac:dyDescent="0.3">
      <c r="A747">
        <v>746</v>
      </c>
      <c r="B747" s="5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 s="4">
        <v>0.13639999999999999</v>
      </c>
      <c r="L747" s="3">
        <v>0.43</v>
      </c>
      <c r="M747" s="3">
        <v>0.44779999999999998</v>
      </c>
      <c r="N747" s="3">
        <v>9</v>
      </c>
      <c r="O747" s="3">
        <v>55</v>
      </c>
      <c r="P747" s="3">
        <v>64</v>
      </c>
      <c r="Q747" s="2" t="s">
        <v>2</v>
      </c>
      <c r="R747" s="2" t="s">
        <v>1</v>
      </c>
      <c r="S747" s="2" t="s">
        <v>0</v>
      </c>
    </row>
    <row r="748" spans="1:19" x14ac:dyDescent="0.3">
      <c r="A748">
        <v>747</v>
      </c>
      <c r="B748" s="5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 s="4">
        <v>0.18179999999999999</v>
      </c>
      <c r="L748" s="3">
        <v>0.4</v>
      </c>
      <c r="M748" s="3">
        <v>0.35820000000000002</v>
      </c>
      <c r="N748" s="3">
        <v>2</v>
      </c>
      <c r="O748" s="3">
        <v>67</v>
      </c>
      <c r="P748" s="3">
        <v>69</v>
      </c>
      <c r="Q748" s="2" t="s">
        <v>2</v>
      </c>
      <c r="R748" s="2" t="s">
        <v>1</v>
      </c>
      <c r="S748" s="2" t="s">
        <v>0</v>
      </c>
    </row>
    <row r="749" spans="1:19" x14ac:dyDescent="0.3">
      <c r="A749">
        <v>748</v>
      </c>
      <c r="B749" s="5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 s="4">
        <v>0.16669999999999999</v>
      </c>
      <c r="L749" s="3">
        <v>0.4</v>
      </c>
      <c r="M749" s="3">
        <v>0.41789999999999999</v>
      </c>
      <c r="N749" s="3">
        <v>4</v>
      </c>
      <c r="O749" s="3">
        <v>47</v>
      </c>
      <c r="P749" s="3">
        <v>51</v>
      </c>
      <c r="Q749" s="2" t="s">
        <v>2</v>
      </c>
      <c r="R749" s="2" t="s">
        <v>1</v>
      </c>
      <c r="S749" s="2" t="s">
        <v>0</v>
      </c>
    </row>
    <row r="750" spans="1:19" x14ac:dyDescent="0.3">
      <c r="A750">
        <v>749</v>
      </c>
      <c r="B750" s="5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 s="4">
        <v>0.19700000000000001</v>
      </c>
      <c r="L750" s="3">
        <v>0.37</v>
      </c>
      <c r="M750" s="3">
        <v>0.3881</v>
      </c>
      <c r="N750" s="3">
        <v>4</v>
      </c>
      <c r="O750" s="3">
        <v>43</v>
      </c>
      <c r="P750" s="3">
        <v>47</v>
      </c>
      <c r="Q750" s="2" t="s">
        <v>2</v>
      </c>
      <c r="R750" s="2" t="s">
        <v>1</v>
      </c>
      <c r="S750" s="2" t="s">
        <v>0</v>
      </c>
    </row>
    <row r="751" spans="1:19" x14ac:dyDescent="0.3">
      <c r="A751">
        <v>750</v>
      </c>
      <c r="B751" s="5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 s="4">
        <v>0.19700000000000001</v>
      </c>
      <c r="L751" s="3">
        <v>0.37</v>
      </c>
      <c r="M751" s="3">
        <v>0.32840000000000003</v>
      </c>
      <c r="N751" s="3">
        <v>4</v>
      </c>
      <c r="O751" s="3">
        <v>56</v>
      </c>
      <c r="P751" s="3">
        <v>60</v>
      </c>
      <c r="Q751" s="2" t="s">
        <v>2</v>
      </c>
      <c r="R751" s="2" t="s">
        <v>1</v>
      </c>
      <c r="S751" s="2" t="s">
        <v>0</v>
      </c>
    </row>
    <row r="752" spans="1:19" x14ac:dyDescent="0.3">
      <c r="A752">
        <v>751</v>
      </c>
      <c r="B752" s="5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 s="4">
        <v>0.21210000000000001</v>
      </c>
      <c r="L752" s="3">
        <v>0.37</v>
      </c>
      <c r="M752" s="3">
        <v>0.25369999999999998</v>
      </c>
      <c r="N752" s="3">
        <v>5</v>
      </c>
      <c r="O752" s="3">
        <v>73</v>
      </c>
      <c r="P752" s="3">
        <v>78</v>
      </c>
      <c r="Q752" s="2" t="s">
        <v>2</v>
      </c>
      <c r="R752" s="2" t="s">
        <v>1</v>
      </c>
      <c r="S752" s="2" t="s">
        <v>0</v>
      </c>
    </row>
    <row r="753" spans="1:19" x14ac:dyDescent="0.3">
      <c r="A753">
        <v>752</v>
      </c>
      <c r="B753" s="5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 s="4">
        <v>0.19700000000000001</v>
      </c>
      <c r="L753" s="3">
        <v>0.4</v>
      </c>
      <c r="M753" s="3">
        <v>0.19400000000000001</v>
      </c>
      <c r="N753" s="3">
        <v>5</v>
      </c>
      <c r="O753" s="3">
        <v>170</v>
      </c>
      <c r="P753" s="3">
        <v>175</v>
      </c>
      <c r="Q753" s="2" t="s">
        <v>2</v>
      </c>
      <c r="R753" s="2" t="s">
        <v>1</v>
      </c>
      <c r="S753" s="2" t="s">
        <v>0</v>
      </c>
    </row>
    <row r="754" spans="1:19" x14ac:dyDescent="0.3">
      <c r="A754">
        <v>753</v>
      </c>
      <c r="B754" s="5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 s="4">
        <v>0.21210000000000001</v>
      </c>
      <c r="L754" s="3">
        <v>0.4</v>
      </c>
      <c r="M754" s="3">
        <v>0.16420000000000001</v>
      </c>
      <c r="N754" s="3">
        <v>2</v>
      </c>
      <c r="O754" s="3">
        <v>145</v>
      </c>
      <c r="P754" s="3">
        <v>147</v>
      </c>
      <c r="Q754" s="2" t="s">
        <v>2</v>
      </c>
      <c r="R754" s="2" t="s">
        <v>1</v>
      </c>
      <c r="S754" s="2" t="s">
        <v>0</v>
      </c>
    </row>
    <row r="755" spans="1:19" x14ac:dyDescent="0.3">
      <c r="A755">
        <v>754</v>
      </c>
      <c r="B755" s="5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 s="4">
        <v>0.2576</v>
      </c>
      <c r="L755" s="3">
        <v>0.4</v>
      </c>
      <c r="M755" s="3">
        <v>0</v>
      </c>
      <c r="N755" s="3">
        <v>4</v>
      </c>
      <c r="O755" s="3">
        <v>92</v>
      </c>
      <c r="P755" s="3">
        <v>96</v>
      </c>
      <c r="Q755" s="2" t="s">
        <v>2</v>
      </c>
      <c r="R755" s="2" t="s">
        <v>1</v>
      </c>
      <c r="S755" s="2" t="s">
        <v>0</v>
      </c>
    </row>
    <row r="756" spans="1:19" x14ac:dyDescent="0.3">
      <c r="A756">
        <v>755</v>
      </c>
      <c r="B756" s="5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 s="4">
        <v>0.2273</v>
      </c>
      <c r="L756" s="3">
        <v>0.47</v>
      </c>
      <c r="M756" s="3">
        <v>8.9599999999999999E-2</v>
      </c>
      <c r="N756" s="3">
        <v>1</v>
      </c>
      <c r="O756" s="3">
        <v>108</v>
      </c>
      <c r="P756" s="3">
        <v>109</v>
      </c>
      <c r="Q756" s="2" t="s">
        <v>2</v>
      </c>
      <c r="R756" s="2" t="s">
        <v>1</v>
      </c>
      <c r="S756" s="2" t="s">
        <v>0</v>
      </c>
    </row>
    <row r="757" spans="1:19" x14ac:dyDescent="0.3">
      <c r="A757">
        <v>756</v>
      </c>
      <c r="B757" s="5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 s="4">
        <v>0.21210000000000001</v>
      </c>
      <c r="L757" s="3">
        <v>0.55000000000000004</v>
      </c>
      <c r="M757" s="3">
        <v>0.1045</v>
      </c>
      <c r="N757" s="3">
        <v>1</v>
      </c>
      <c r="O757" s="3">
        <v>53</v>
      </c>
      <c r="P757" s="3">
        <v>54</v>
      </c>
      <c r="Q757" s="2" t="s">
        <v>2</v>
      </c>
      <c r="R757" s="2" t="s">
        <v>1</v>
      </c>
      <c r="S757" s="2" t="s">
        <v>0</v>
      </c>
    </row>
    <row r="758" spans="1:19" x14ac:dyDescent="0.3">
      <c r="A758">
        <v>757</v>
      </c>
      <c r="B758" s="5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 s="4">
        <v>0.21210000000000001</v>
      </c>
      <c r="L758" s="3">
        <v>0.51</v>
      </c>
      <c r="M758" s="3">
        <v>8.9599999999999999E-2</v>
      </c>
      <c r="N758" s="3">
        <v>2</v>
      </c>
      <c r="O758" s="3">
        <v>39</v>
      </c>
      <c r="P758" s="3">
        <v>41</v>
      </c>
      <c r="Q758" s="2" t="s">
        <v>2</v>
      </c>
      <c r="R758" s="2" t="s">
        <v>1</v>
      </c>
      <c r="S758" s="2" t="s">
        <v>0</v>
      </c>
    </row>
    <row r="759" spans="1:19" x14ac:dyDescent="0.3">
      <c r="A759">
        <v>758</v>
      </c>
      <c r="B759" s="5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 s="4">
        <v>0.2273</v>
      </c>
      <c r="L759" s="3">
        <v>0.47</v>
      </c>
      <c r="M759" s="3">
        <v>0.1045</v>
      </c>
      <c r="N759" s="3">
        <v>4</v>
      </c>
      <c r="O759" s="3">
        <v>34</v>
      </c>
      <c r="P759" s="3">
        <v>38</v>
      </c>
      <c r="Q759" s="2" t="s">
        <v>2</v>
      </c>
      <c r="R759" s="2" t="s">
        <v>1</v>
      </c>
      <c r="S759" s="2" t="s">
        <v>0</v>
      </c>
    </row>
    <row r="760" spans="1:19" x14ac:dyDescent="0.3">
      <c r="A760">
        <v>759</v>
      </c>
      <c r="B760" s="5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 s="4">
        <v>0.2576</v>
      </c>
      <c r="L760" s="3">
        <v>0.44</v>
      </c>
      <c r="M760" s="3">
        <v>0</v>
      </c>
      <c r="N760" s="3">
        <v>3</v>
      </c>
      <c r="O760" s="3">
        <v>10</v>
      </c>
      <c r="P760" s="3">
        <v>13</v>
      </c>
      <c r="Q760" s="2" t="s">
        <v>2</v>
      </c>
      <c r="R760" s="2" t="s">
        <v>3</v>
      </c>
      <c r="S760" s="2" t="s">
        <v>0</v>
      </c>
    </row>
    <row r="761" spans="1:19" x14ac:dyDescent="0.3">
      <c r="A761">
        <v>760</v>
      </c>
      <c r="B761" s="5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 s="4">
        <v>0.2273</v>
      </c>
      <c r="L761" s="3">
        <v>0.59</v>
      </c>
      <c r="M761" s="3">
        <v>0</v>
      </c>
      <c r="N761" s="3">
        <v>0</v>
      </c>
      <c r="O761" s="3">
        <v>7</v>
      </c>
      <c r="P761" s="3">
        <v>7</v>
      </c>
      <c r="Q761" s="2" t="s">
        <v>2</v>
      </c>
      <c r="R761" s="2" t="s">
        <v>3</v>
      </c>
      <c r="S761" s="2" t="s">
        <v>0</v>
      </c>
    </row>
    <row r="762" spans="1:19" x14ac:dyDescent="0.3">
      <c r="A762">
        <v>761</v>
      </c>
      <c r="B762" s="5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 s="4">
        <v>0.16669999999999999</v>
      </c>
      <c r="L762" s="3">
        <v>0.63</v>
      </c>
      <c r="M762" s="3">
        <v>0.1045</v>
      </c>
      <c r="N762" s="3">
        <v>0</v>
      </c>
      <c r="O762" s="3">
        <v>1</v>
      </c>
      <c r="P762" s="3">
        <v>1</v>
      </c>
      <c r="Q762" s="2" t="s">
        <v>2</v>
      </c>
      <c r="R762" s="2" t="s">
        <v>3</v>
      </c>
      <c r="S762" s="2" t="s">
        <v>0</v>
      </c>
    </row>
    <row r="763" spans="1:19" x14ac:dyDescent="0.3">
      <c r="A763">
        <v>762</v>
      </c>
      <c r="B763" s="5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 s="4">
        <v>0.16669999999999999</v>
      </c>
      <c r="L763" s="3">
        <v>0.63</v>
      </c>
      <c r="M763" s="3">
        <v>0.1045</v>
      </c>
      <c r="N763" s="3">
        <v>0</v>
      </c>
      <c r="O763" s="3">
        <v>1</v>
      </c>
      <c r="P763" s="3">
        <v>1</v>
      </c>
      <c r="Q763" s="2" t="s">
        <v>2</v>
      </c>
      <c r="R763" s="2" t="s">
        <v>3</v>
      </c>
      <c r="S763" s="2" t="s">
        <v>0</v>
      </c>
    </row>
    <row r="764" spans="1:19" x14ac:dyDescent="0.3">
      <c r="A764">
        <v>763</v>
      </c>
      <c r="B764" s="5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 s="4">
        <v>0.1515</v>
      </c>
      <c r="L764" s="3">
        <v>0.63</v>
      </c>
      <c r="M764" s="3">
        <v>0.1343</v>
      </c>
      <c r="N764" s="3">
        <v>0</v>
      </c>
      <c r="O764" s="3">
        <v>7</v>
      </c>
      <c r="P764" s="3">
        <v>7</v>
      </c>
      <c r="Q764" s="2" t="s">
        <v>2</v>
      </c>
      <c r="R764" s="2" t="s">
        <v>3</v>
      </c>
      <c r="S764" s="2" t="s">
        <v>0</v>
      </c>
    </row>
    <row r="765" spans="1:19" x14ac:dyDescent="0.3">
      <c r="A765">
        <v>764</v>
      </c>
      <c r="B765" s="5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 s="4">
        <v>0.2273</v>
      </c>
      <c r="L765" s="3">
        <v>0.55000000000000004</v>
      </c>
      <c r="M765" s="3">
        <v>0</v>
      </c>
      <c r="N765" s="3">
        <v>2</v>
      </c>
      <c r="O765" s="3">
        <v>26</v>
      </c>
      <c r="P765" s="3">
        <v>28</v>
      </c>
      <c r="Q765" s="2" t="s">
        <v>2</v>
      </c>
      <c r="R765" s="2" t="s">
        <v>3</v>
      </c>
      <c r="S765" s="2" t="s">
        <v>0</v>
      </c>
    </row>
    <row r="766" spans="1:19" x14ac:dyDescent="0.3">
      <c r="A766">
        <v>765</v>
      </c>
      <c r="B766" s="5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 s="4">
        <v>0.21210000000000001</v>
      </c>
      <c r="L766" s="3">
        <v>0.59</v>
      </c>
      <c r="M766" s="3">
        <v>0</v>
      </c>
      <c r="N766" s="3">
        <v>0</v>
      </c>
      <c r="O766" s="3">
        <v>87</v>
      </c>
      <c r="P766" s="3">
        <v>87</v>
      </c>
      <c r="Q766" s="2" t="s">
        <v>2</v>
      </c>
      <c r="R766" s="2" t="s">
        <v>1</v>
      </c>
      <c r="S766" s="2" t="s">
        <v>0</v>
      </c>
    </row>
    <row r="767" spans="1:19" x14ac:dyDescent="0.3">
      <c r="A767">
        <v>766</v>
      </c>
      <c r="B767" s="5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 s="4">
        <v>0.1515</v>
      </c>
      <c r="L767" s="3">
        <v>0.74</v>
      </c>
      <c r="M767" s="3">
        <v>0.1343</v>
      </c>
      <c r="N767" s="3">
        <v>3</v>
      </c>
      <c r="O767" s="3">
        <v>217</v>
      </c>
      <c r="P767" s="3">
        <v>220</v>
      </c>
      <c r="Q767" s="2" t="s">
        <v>2</v>
      </c>
      <c r="R767" s="2" t="s">
        <v>1</v>
      </c>
      <c r="S767" s="2" t="s">
        <v>0</v>
      </c>
    </row>
    <row r="768" spans="1:19" x14ac:dyDescent="0.3">
      <c r="A768">
        <v>767</v>
      </c>
      <c r="B768" s="5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 s="4">
        <v>0.18179999999999999</v>
      </c>
      <c r="L768" s="3">
        <v>0.8</v>
      </c>
      <c r="M768" s="3">
        <v>0.1343</v>
      </c>
      <c r="N768" s="3">
        <v>3</v>
      </c>
      <c r="O768" s="3">
        <v>124</v>
      </c>
      <c r="P768" s="3">
        <v>127</v>
      </c>
      <c r="Q768" s="2" t="s">
        <v>2</v>
      </c>
      <c r="R768" s="2" t="s">
        <v>3</v>
      </c>
      <c r="S768" s="2" t="s">
        <v>0</v>
      </c>
    </row>
    <row r="769" spans="1:19" x14ac:dyDescent="0.3">
      <c r="A769">
        <v>768</v>
      </c>
      <c r="B769" s="5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 s="4">
        <v>0.21210000000000001</v>
      </c>
      <c r="L769" s="3">
        <v>0.51</v>
      </c>
      <c r="M769" s="3">
        <v>0.1343</v>
      </c>
      <c r="N769" s="3">
        <v>5</v>
      </c>
      <c r="O769" s="3">
        <v>46</v>
      </c>
      <c r="P769" s="3">
        <v>51</v>
      </c>
      <c r="Q769" s="2" t="s">
        <v>2</v>
      </c>
      <c r="R769" s="2" t="s">
        <v>3</v>
      </c>
      <c r="S769" s="2" t="s">
        <v>0</v>
      </c>
    </row>
    <row r="770" spans="1:19" x14ac:dyDescent="0.3">
      <c r="A770">
        <v>769</v>
      </c>
      <c r="B770" s="5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 s="4">
        <v>0.2273</v>
      </c>
      <c r="L770" s="3">
        <v>0.51</v>
      </c>
      <c r="M770" s="3">
        <v>0.16420000000000001</v>
      </c>
      <c r="N770" s="3">
        <v>3</v>
      </c>
      <c r="O770" s="3">
        <v>61</v>
      </c>
      <c r="P770" s="3">
        <v>64</v>
      </c>
      <c r="Q770" s="2" t="s">
        <v>2</v>
      </c>
      <c r="R770" s="2" t="s">
        <v>1</v>
      </c>
      <c r="S770" s="2" t="s">
        <v>0</v>
      </c>
    </row>
    <row r="771" spans="1:19" x14ac:dyDescent="0.3">
      <c r="A771">
        <v>770</v>
      </c>
      <c r="B771" s="5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 s="4">
        <v>0.2424</v>
      </c>
      <c r="L771" s="3">
        <v>0.48</v>
      </c>
      <c r="M771" s="3">
        <v>0.16420000000000001</v>
      </c>
      <c r="N771" s="3">
        <v>8</v>
      </c>
      <c r="O771" s="3">
        <v>78</v>
      </c>
      <c r="P771" s="3">
        <v>86</v>
      </c>
      <c r="Q771" s="2" t="s">
        <v>2</v>
      </c>
      <c r="R771" s="2" t="s">
        <v>3</v>
      </c>
      <c r="S771" s="2" t="s">
        <v>0</v>
      </c>
    </row>
    <row r="772" spans="1:19" x14ac:dyDescent="0.3">
      <c r="A772">
        <v>771</v>
      </c>
      <c r="B772" s="5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 s="4">
        <v>0.2576</v>
      </c>
      <c r="L772" s="3">
        <v>0.5</v>
      </c>
      <c r="M772" s="3">
        <v>0.22389999999999999</v>
      </c>
      <c r="N772" s="3">
        <v>9</v>
      </c>
      <c r="O772" s="3">
        <v>73</v>
      </c>
      <c r="P772" s="3">
        <v>82</v>
      </c>
      <c r="Q772" s="2" t="s">
        <v>2</v>
      </c>
      <c r="R772" s="2" t="s">
        <v>3</v>
      </c>
      <c r="S772" s="2" t="s">
        <v>0</v>
      </c>
    </row>
    <row r="773" spans="1:19" x14ac:dyDescent="0.3">
      <c r="A773">
        <v>772</v>
      </c>
      <c r="B773" s="5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 s="4">
        <v>0.2727</v>
      </c>
      <c r="L773" s="3">
        <v>0.45</v>
      </c>
      <c r="M773" s="3">
        <v>0.16420000000000001</v>
      </c>
      <c r="N773" s="3">
        <v>15</v>
      </c>
      <c r="O773" s="3">
        <v>76</v>
      </c>
      <c r="P773" s="3">
        <v>91</v>
      </c>
      <c r="Q773" s="2" t="s">
        <v>2</v>
      </c>
      <c r="R773" s="2" t="s">
        <v>3</v>
      </c>
      <c r="S773" s="2" t="s">
        <v>0</v>
      </c>
    </row>
    <row r="774" spans="1:19" x14ac:dyDescent="0.3">
      <c r="A774">
        <v>773</v>
      </c>
      <c r="B774" s="5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 s="4">
        <v>0.2727</v>
      </c>
      <c r="L774" s="3">
        <v>0.48</v>
      </c>
      <c r="M774" s="3">
        <v>0.25369999999999998</v>
      </c>
      <c r="N774" s="3">
        <v>9</v>
      </c>
      <c r="O774" s="3">
        <v>81</v>
      </c>
      <c r="P774" s="3">
        <v>90</v>
      </c>
      <c r="Q774" s="2" t="s">
        <v>2</v>
      </c>
      <c r="R774" s="2" t="s">
        <v>3</v>
      </c>
      <c r="S774" s="2" t="s">
        <v>0</v>
      </c>
    </row>
    <row r="775" spans="1:19" x14ac:dyDescent="0.3">
      <c r="A775">
        <v>774</v>
      </c>
      <c r="B775" s="5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 s="4">
        <v>0.28789999999999999</v>
      </c>
      <c r="L775" s="3">
        <v>0.42</v>
      </c>
      <c r="M775" s="3">
        <v>0.22389999999999999</v>
      </c>
      <c r="N775" s="3">
        <v>8</v>
      </c>
      <c r="O775" s="3">
        <v>91</v>
      </c>
      <c r="P775" s="3">
        <v>99</v>
      </c>
      <c r="Q775" s="2" t="s">
        <v>2</v>
      </c>
      <c r="R775" s="2" t="s">
        <v>3</v>
      </c>
      <c r="S775" s="2" t="s">
        <v>0</v>
      </c>
    </row>
    <row r="776" spans="1:19" x14ac:dyDescent="0.3">
      <c r="A776">
        <v>775</v>
      </c>
      <c r="B776" s="5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 s="4">
        <v>0.2727</v>
      </c>
      <c r="L776" s="3">
        <v>0.56000000000000005</v>
      </c>
      <c r="M776" s="3">
        <v>0.1343</v>
      </c>
      <c r="N776" s="3">
        <v>10</v>
      </c>
      <c r="O776" s="3">
        <v>195</v>
      </c>
      <c r="P776" s="3">
        <v>205</v>
      </c>
      <c r="Q776" s="2" t="s">
        <v>2</v>
      </c>
      <c r="R776" s="2" t="s">
        <v>3</v>
      </c>
      <c r="S776" s="2" t="s">
        <v>0</v>
      </c>
    </row>
    <row r="777" spans="1:19" x14ac:dyDescent="0.3">
      <c r="A777">
        <v>776</v>
      </c>
      <c r="B777" s="5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 s="4">
        <v>0.2576</v>
      </c>
      <c r="L777" s="3">
        <v>0.6</v>
      </c>
      <c r="M777" s="3">
        <v>0.1045</v>
      </c>
      <c r="N777" s="3">
        <v>3</v>
      </c>
      <c r="O777" s="3">
        <v>152</v>
      </c>
      <c r="P777" s="3">
        <v>155</v>
      </c>
      <c r="Q777" s="2" t="s">
        <v>2</v>
      </c>
      <c r="R777" s="2" t="s">
        <v>3</v>
      </c>
      <c r="S777" s="2" t="s">
        <v>0</v>
      </c>
    </row>
    <row r="778" spans="1:19" x14ac:dyDescent="0.3">
      <c r="A778">
        <v>777</v>
      </c>
      <c r="B778" s="5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 s="4">
        <v>0.2424</v>
      </c>
      <c r="L778" s="3">
        <v>0.65</v>
      </c>
      <c r="M778" s="3">
        <v>0.1343</v>
      </c>
      <c r="N778" s="3">
        <v>1</v>
      </c>
      <c r="O778" s="3">
        <v>102</v>
      </c>
      <c r="P778" s="3">
        <v>103</v>
      </c>
      <c r="Q778" s="2" t="s">
        <v>2</v>
      </c>
      <c r="R778" s="2" t="s">
        <v>3</v>
      </c>
      <c r="S778" s="2" t="s">
        <v>0</v>
      </c>
    </row>
    <row r="779" spans="1:19" x14ac:dyDescent="0.3">
      <c r="A779">
        <v>778</v>
      </c>
      <c r="B779" s="5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 s="4">
        <v>0.2424</v>
      </c>
      <c r="L779" s="3">
        <v>0.65</v>
      </c>
      <c r="M779" s="3">
        <v>0.16420000000000001</v>
      </c>
      <c r="N779" s="3">
        <v>2</v>
      </c>
      <c r="O779" s="3">
        <v>69</v>
      </c>
      <c r="P779" s="3">
        <v>71</v>
      </c>
      <c r="Q779" s="2" t="s">
        <v>2</v>
      </c>
      <c r="R779" s="2" t="s">
        <v>3</v>
      </c>
      <c r="S779" s="2" t="s">
        <v>0</v>
      </c>
    </row>
    <row r="780" spans="1:19" x14ac:dyDescent="0.3">
      <c r="A780">
        <v>779</v>
      </c>
      <c r="B780" s="5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 s="4">
        <v>0.2424</v>
      </c>
      <c r="L780" s="3">
        <v>0.7</v>
      </c>
      <c r="M780" s="3">
        <v>0.16420000000000001</v>
      </c>
      <c r="N780" s="3">
        <v>2</v>
      </c>
      <c r="O780" s="3">
        <v>41</v>
      </c>
      <c r="P780" s="3">
        <v>43</v>
      </c>
      <c r="Q780" s="2" t="s">
        <v>2</v>
      </c>
      <c r="R780" s="2" t="s">
        <v>3</v>
      </c>
      <c r="S780" s="2" t="s">
        <v>0</v>
      </c>
    </row>
    <row r="781" spans="1:19" x14ac:dyDescent="0.3">
      <c r="A781">
        <v>780</v>
      </c>
      <c r="B781" s="5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 s="4">
        <v>0.2424</v>
      </c>
      <c r="L781" s="3">
        <v>0.65</v>
      </c>
      <c r="M781" s="3">
        <v>0.16420000000000001</v>
      </c>
      <c r="N781" s="3">
        <v>1</v>
      </c>
      <c r="O781" s="3">
        <v>45</v>
      </c>
      <c r="P781" s="3">
        <v>46</v>
      </c>
      <c r="Q781" s="2" t="s">
        <v>2</v>
      </c>
      <c r="R781" s="2" t="s">
        <v>3</v>
      </c>
      <c r="S781" s="2" t="s">
        <v>0</v>
      </c>
    </row>
    <row r="782" spans="1:19" x14ac:dyDescent="0.3">
      <c r="A782">
        <v>781</v>
      </c>
      <c r="B782" s="5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 s="4">
        <v>0.2424</v>
      </c>
      <c r="L782" s="3">
        <v>0.7</v>
      </c>
      <c r="M782" s="3">
        <v>0.1343</v>
      </c>
      <c r="N782" s="3">
        <v>1</v>
      </c>
      <c r="O782" s="3">
        <v>30</v>
      </c>
      <c r="P782" s="3">
        <v>31</v>
      </c>
      <c r="Q782" s="2" t="s">
        <v>2</v>
      </c>
      <c r="R782" s="2" t="s">
        <v>3</v>
      </c>
      <c r="S782" s="2" t="s">
        <v>0</v>
      </c>
    </row>
    <row r="783" spans="1:19" x14ac:dyDescent="0.3">
      <c r="A783">
        <v>782</v>
      </c>
      <c r="B783" s="5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 s="4">
        <v>0.2424</v>
      </c>
      <c r="L783" s="3">
        <v>0.7</v>
      </c>
      <c r="M783" s="3">
        <v>0.16420000000000001</v>
      </c>
      <c r="N783" s="3">
        <v>3</v>
      </c>
      <c r="O783" s="3">
        <v>36</v>
      </c>
      <c r="P783" s="3">
        <v>39</v>
      </c>
      <c r="Q783" s="2" t="s">
        <v>2</v>
      </c>
      <c r="R783" s="2" t="s">
        <v>3</v>
      </c>
      <c r="S783" s="2" t="s">
        <v>0</v>
      </c>
    </row>
    <row r="784" spans="1:19" x14ac:dyDescent="0.3">
      <c r="A784">
        <v>783</v>
      </c>
      <c r="B784" s="5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 s="4">
        <v>0.2424</v>
      </c>
      <c r="L784" s="3">
        <v>0.65</v>
      </c>
      <c r="M784" s="3">
        <v>0.16420000000000001</v>
      </c>
      <c r="N784" s="3">
        <v>1</v>
      </c>
      <c r="O784" s="3">
        <v>17</v>
      </c>
      <c r="P784" s="3">
        <v>18</v>
      </c>
      <c r="Q784" s="2" t="s">
        <v>2</v>
      </c>
      <c r="R784" s="2" t="s">
        <v>3</v>
      </c>
      <c r="S784" s="2" t="s">
        <v>0</v>
      </c>
    </row>
    <row r="785" spans="1:19" x14ac:dyDescent="0.3">
      <c r="A785">
        <v>784</v>
      </c>
      <c r="B785" s="5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 s="4">
        <v>0.2424</v>
      </c>
      <c r="L785" s="3">
        <v>0.75</v>
      </c>
      <c r="M785" s="3">
        <v>0.16420000000000001</v>
      </c>
      <c r="N785" s="3">
        <v>5</v>
      </c>
      <c r="O785" s="3">
        <v>12</v>
      </c>
      <c r="P785" s="3">
        <v>17</v>
      </c>
      <c r="Q785" s="2" t="s">
        <v>2</v>
      </c>
      <c r="R785" s="2" t="s">
        <v>3</v>
      </c>
      <c r="S785" s="2" t="s">
        <v>0</v>
      </c>
    </row>
    <row r="786" spans="1:19" x14ac:dyDescent="0.3">
      <c r="A786">
        <v>785</v>
      </c>
      <c r="B786" s="5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 s="4">
        <v>0.2424</v>
      </c>
      <c r="L786" s="3">
        <v>0.75</v>
      </c>
      <c r="M786" s="3">
        <v>0.16420000000000001</v>
      </c>
      <c r="N786" s="3">
        <v>1</v>
      </c>
      <c r="O786" s="3">
        <v>10</v>
      </c>
      <c r="P786" s="3">
        <v>11</v>
      </c>
      <c r="Q786" s="2" t="s">
        <v>2</v>
      </c>
      <c r="R786" s="2" t="s">
        <v>3</v>
      </c>
      <c r="S786" s="2" t="s">
        <v>0</v>
      </c>
    </row>
    <row r="787" spans="1:19" x14ac:dyDescent="0.3">
      <c r="A787">
        <v>786</v>
      </c>
      <c r="B787" s="5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 s="4">
        <v>0.2273</v>
      </c>
      <c r="L787" s="3">
        <v>0.93</v>
      </c>
      <c r="M787" s="3">
        <v>0.1343</v>
      </c>
      <c r="N787" s="3">
        <v>0</v>
      </c>
      <c r="O787" s="3">
        <v>8</v>
      </c>
      <c r="P787" s="3">
        <v>8</v>
      </c>
      <c r="Q787" s="2" t="s">
        <v>2</v>
      </c>
      <c r="R787" s="2" t="s">
        <v>4</v>
      </c>
      <c r="S787" s="2" t="s">
        <v>0</v>
      </c>
    </row>
    <row r="788" spans="1:19" x14ac:dyDescent="0.3">
      <c r="A788">
        <v>787</v>
      </c>
      <c r="B788" s="5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 s="4">
        <v>0.2273</v>
      </c>
      <c r="L788" s="3">
        <v>1</v>
      </c>
      <c r="M788" s="3">
        <v>8.9599999999999999E-2</v>
      </c>
      <c r="N788" s="3">
        <v>0</v>
      </c>
      <c r="O788" s="3">
        <v>9</v>
      </c>
      <c r="P788" s="3">
        <v>9</v>
      </c>
      <c r="Q788" s="2" t="s">
        <v>2</v>
      </c>
      <c r="R788" s="2" t="s">
        <v>4</v>
      </c>
      <c r="S788" s="2" t="s">
        <v>0</v>
      </c>
    </row>
    <row r="789" spans="1:19" x14ac:dyDescent="0.3">
      <c r="A789">
        <v>788</v>
      </c>
      <c r="B789" s="5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 s="4">
        <v>0.2576</v>
      </c>
      <c r="L789" s="3">
        <v>1</v>
      </c>
      <c r="M789" s="3">
        <v>0</v>
      </c>
      <c r="N789" s="3">
        <v>0</v>
      </c>
      <c r="O789" s="3">
        <v>4</v>
      </c>
      <c r="P789" s="3">
        <v>4</v>
      </c>
      <c r="Q789" s="2" t="s">
        <v>2</v>
      </c>
      <c r="R789" s="2" t="s">
        <v>4</v>
      </c>
      <c r="S789" s="2" t="s">
        <v>0</v>
      </c>
    </row>
    <row r="790" spans="1:19" x14ac:dyDescent="0.3">
      <c r="A790">
        <v>789</v>
      </c>
      <c r="B790" s="5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 s="4">
        <v>0.2576</v>
      </c>
      <c r="L790" s="3">
        <v>0.93</v>
      </c>
      <c r="M790" s="3">
        <v>8.9599999999999999E-2</v>
      </c>
      <c r="N790" s="3">
        <v>0</v>
      </c>
      <c r="O790" s="3">
        <v>4</v>
      </c>
      <c r="P790" s="3">
        <v>4</v>
      </c>
      <c r="Q790" s="2" t="s">
        <v>2</v>
      </c>
      <c r="R790" s="2" t="s">
        <v>4</v>
      </c>
      <c r="S790" s="2" t="s">
        <v>0</v>
      </c>
    </row>
    <row r="791" spans="1:19" x14ac:dyDescent="0.3">
      <c r="A791">
        <v>790</v>
      </c>
      <c r="B791" s="5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 s="4">
        <v>0.2273</v>
      </c>
      <c r="L791" s="3">
        <v>1</v>
      </c>
      <c r="M791" s="3">
        <v>8.9599999999999999E-2</v>
      </c>
      <c r="N791" s="3">
        <v>0</v>
      </c>
      <c r="O791" s="3">
        <v>10</v>
      </c>
      <c r="P791" s="3">
        <v>10</v>
      </c>
      <c r="Q791" s="2" t="s">
        <v>2</v>
      </c>
      <c r="R791" s="2" t="s">
        <v>4</v>
      </c>
      <c r="S791" s="2" t="s">
        <v>0</v>
      </c>
    </row>
    <row r="792" spans="1:19" x14ac:dyDescent="0.3">
      <c r="A792">
        <v>791</v>
      </c>
      <c r="B792" s="5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 s="4">
        <v>0.2273</v>
      </c>
      <c r="L792" s="3">
        <v>1</v>
      </c>
      <c r="M792" s="3">
        <v>8.9599999999999999E-2</v>
      </c>
      <c r="N792" s="3">
        <v>3</v>
      </c>
      <c r="O792" s="3">
        <v>17</v>
      </c>
      <c r="P792" s="3">
        <v>20</v>
      </c>
      <c r="Q792" s="2" t="s">
        <v>2</v>
      </c>
      <c r="R792" s="2" t="s">
        <v>4</v>
      </c>
      <c r="S792" s="2" t="s">
        <v>0</v>
      </c>
    </row>
    <row r="793" spans="1:19" x14ac:dyDescent="0.3">
      <c r="A793">
        <v>792</v>
      </c>
      <c r="B793" s="5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 s="4">
        <v>0.21210000000000001</v>
      </c>
      <c r="L793" s="3">
        <v>1</v>
      </c>
      <c r="M793" s="3">
        <v>0.1343</v>
      </c>
      <c r="N793" s="3">
        <v>3</v>
      </c>
      <c r="O793" s="3">
        <v>31</v>
      </c>
      <c r="P793" s="3">
        <v>34</v>
      </c>
      <c r="Q793" s="2" t="s">
        <v>2</v>
      </c>
      <c r="R793" s="2" t="s">
        <v>4</v>
      </c>
      <c r="S793" s="2" t="s">
        <v>0</v>
      </c>
    </row>
    <row r="794" spans="1:19" x14ac:dyDescent="0.3">
      <c r="A794">
        <v>793</v>
      </c>
      <c r="B794" s="5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 s="4">
        <v>0.2273</v>
      </c>
      <c r="L794" s="3">
        <v>1</v>
      </c>
      <c r="M794" s="3">
        <v>0.1343</v>
      </c>
      <c r="N794" s="3">
        <v>1</v>
      </c>
      <c r="O794" s="3">
        <v>46</v>
      </c>
      <c r="P794" s="3">
        <v>47</v>
      </c>
      <c r="Q794" s="2" t="s">
        <v>2</v>
      </c>
      <c r="R794" s="2" t="s">
        <v>4</v>
      </c>
      <c r="S794" s="2" t="s">
        <v>0</v>
      </c>
    </row>
    <row r="795" spans="1:19" x14ac:dyDescent="0.3">
      <c r="A795">
        <v>794</v>
      </c>
      <c r="B795" s="5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 s="4">
        <v>0.2273</v>
      </c>
      <c r="L795" s="3">
        <v>1</v>
      </c>
      <c r="M795" s="3">
        <v>0.16420000000000001</v>
      </c>
      <c r="N795" s="3">
        <v>10</v>
      </c>
      <c r="O795" s="3">
        <v>42</v>
      </c>
      <c r="P795" s="3">
        <v>52</v>
      </c>
      <c r="Q795" s="2" t="s">
        <v>2</v>
      </c>
      <c r="R795" s="2" t="s">
        <v>4</v>
      </c>
      <c r="S795" s="2" t="s">
        <v>0</v>
      </c>
    </row>
    <row r="796" spans="1:19" x14ac:dyDescent="0.3">
      <c r="A796">
        <v>795</v>
      </c>
      <c r="B796" s="5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 s="4">
        <v>0.2273</v>
      </c>
      <c r="L796" s="3">
        <v>1</v>
      </c>
      <c r="M796" s="3">
        <v>0.16420000000000001</v>
      </c>
      <c r="N796" s="3">
        <v>10</v>
      </c>
      <c r="O796" s="3">
        <v>62</v>
      </c>
      <c r="P796" s="3">
        <v>72</v>
      </c>
      <c r="Q796" s="2" t="s">
        <v>2</v>
      </c>
      <c r="R796" s="2" t="s">
        <v>4</v>
      </c>
      <c r="S796" s="2" t="s">
        <v>0</v>
      </c>
    </row>
    <row r="797" spans="1:19" x14ac:dyDescent="0.3">
      <c r="A797">
        <v>796</v>
      </c>
      <c r="B797" s="5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 s="4">
        <v>0.2727</v>
      </c>
      <c r="L797" s="3">
        <v>1</v>
      </c>
      <c r="M797" s="3">
        <v>0</v>
      </c>
      <c r="N797" s="3">
        <v>5</v>
      </c>
      <c r="O797" s="3">
        <v>50</v>
      </c>
      <c r="P797" s="3">
        <v>55</v>
      </c>
      <c r="Q797" s="2" t="s">
        <v>2</v>
      </c>
      <c r="R797" s="2" t="s">
        <v>4</v>
      </c>
      <c r="S797" s="2" t="s">
        <v>0</v>
      </c>
    </row>
    <row r="798" spans="1:19" x14ac:dyDescent="0.3">
      <c r="A798">
        <v>797</v>
      </c>
      <c r="B798" s="5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 s="4">
        <v>0.2727</v>
      </c>
      <c r="L798" s="3">
        <v>1</v>
      </c>
      <c r="M798" s="3">
        <v>0</v>
      </c>
      <c r="N798" s="3">
        <v>11</v>
      </c>
      <c r="O798" s="3">
        <v>49</v>
      </c>
      <c r="P798" s="3">
        <v>60</v>
      </c>
      <c r="Q798" s="2" t="s">
        <v>2</v>
      </c>
      <c r="R798" s="2" t="s">
        <v>4</v>
      </c>
      <c r="S798" s="2" t="s">
        <v>0</v>
      </c>
    </row>
    <row r="799" spans="1:19" x14ac:dyDescent="0.3">
      <c r="A799">
        <v>798</v>
      </c>
      <c r="B799" s="5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 s="4">
        <v>0.2273</v>
      </c>
      <c r="L799" s="3">
        <v>1</v>
      </c>
      <c r="M799" s="3">
        <v>0.1343</v>
      </c>
      <c r="N799" s="3">
        <v>8</v>
      </c>
      <c r="O799" s="3">
        <v>63</v>
      </c>
      <c r="P799" s="3">
        <v>71</v>
      </c>
      <c r="Q799" s="2" t="s">
        <v>2</v>
      </c>
      <c r="R799" s="2" t="s">
        <v>4</v>
      </c>
      <c r="S799" s="2" t="s">
        <v>0</v>
      </c>
    </row>
    <row r="800" spans="1:19" x14ac:dyDescent="0.3">
      <c r="A800">
        <v>799</v>
      </c>
      <c r="B800" s="5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 s="4">
        <v>0.21210000000000001</v>
      </c>
      <c r="L800" s="3">
        <v>1</v>
      </c>
      <c r="M800" s="3">
        <v>0.28360000000000002</v>
      </c>
      <c r="N800" s="3">
        <v>14</v>
      </c>
      <c r="O800" s="3">
        <v>64</v>
      </c>
      <c r="P800" s="3">
        <v>78</v>
      </c>
      <c r="Q800" s="2" t="s">
        <v>2</v>
      </c>
      <c r="R800" s="2" t="s">
        <v>3</v>
      </c>
      <c r="S800" s="2" t="s">
        <v>0</v>
      </c>
    </row>
    <row r="801" spans="1:19" x14ac:dyDescent="0.3">
      <c r="A801">
        <v>800</v>
      </c>
      <c r="B801" s="5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 s="4">
        <v>0.2424</v>
      </c>
      <c r="L801" s="3">
        <v>0.93</v>
      </c>
      <c r="M801" s="3">
        <v>0.44779999999999998</v>
      </c>
      <c r="N801" s="3">
        <v>2</v>
      </c>
      <c r="O801" s="3">
        <v>81</v>
      </c>
      <c r="P801" s="3">
        <v>83</v>
      </c>
      <c r="Q801" s="2" t="s">
        <v>2</v>
      </c>
      <c r="R801" s="2" t="s">
        <v>3</v>
      </c>
      <c r="S801" s="2" t="s">
        <v>0</v>
      </c>
    </row>
    <row r="802" spans="1:19" x14ac:dyDescent="0.3">
      <c r="A802">
        <v>801</v>
      </c>
      <c r="B802" s="5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 s="4">
        <v>0.2424</v>
      </c>
      <c r="L802" s="3">
        <v>0.93</v>
      </c>
      <c r="M802" s="3">
        <v>0.44779999999999998</v>
      </c>
      <c r="N802" s="3">
        <v>6</v>
      </c>
      <c r="O802" s="3">
        <v>78</v>
      </c>
      <c r="P802" s="3">
        <v>84</v>
      </c>
      <c r="Q802" s="2" t="s">
        <v>2</v>
      </c>
      <c r="R802" s="2" t="s">
        <v>3</v>
      </c>
      <c r="S802" s="2" t="s">
        <v>0</v>
      </c>
    </row>
    <row r="803" spans="1:19" x14ac:dyDescent="0.3">
      <c r="A803">
        <v>802</v>
      </c>
      <c r="B803" s="5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 s="4">
        <v>0.28789999999999999</v>
      </c>
      <c r="L803" s="3">
        <v>0.87</v>
      </c>
      <c r="M803" s="3">
        <v>0.25369999999999998</v>
      </c>
      <c r="N803" s="3">
        <v>5</v>
      </c>
      <c r="O803" s="3">
        <v>64</v>
      </c>
      <c r="P803" s="3">
        <v>69</v>
      </c>
      <c r="Q803" s="2" t="s">
        <v>2</v>
      </c>
      <c r="R803" s="2" t="s">
        <v>1</v>
      </c>
      <c r="S803" s="2" t="s">
        <v>0</v>
      </c>
    </row>
    <row r="804" spans="1:19" x14ac:dyDescent="0.3">
      <c r="A804">
        <v>803</v>
      </c>
      <c r="B804" s="5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 s="4">
        <v>0.2576</v>
      </c>
      <c r="L804" s="3">
        <v>1</v>
      </c>
      <c r="M804" s="3">
        <v>0.19400000000000001</v>
      </c>
      <c r="N804" s="3">
        <v>3</v>
      </c>
      <c r="O804" s="3">
        <v>53</v>
      </c>
      <c r="P804" s="3">
        <v>56</v>
      </c>
      <c r="Q804" s="2" t="s">
        <v>2</v>
      </c>
      <c r="R804" s="2" t="s">
        <v>1</v>
      </c>
      <c r="S804" s="2" t="s">
        <v>0</v>
      </c>
    </row>
    <row r="805" spans="1:19" x14ac:dyDescent="0.3">
      <c r="A805">
        <v>804</v>
      </c>
      <c r="B805" s="5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 s="4">
        <v>0.2727</v>
      </c>
      <c r="L805" s="3">
        <v>0.93</v>
      </c>
      <c r="M805" s="3">
        <v>0.1343</v>
      </c>
      <c r="N805" s="3">
        <v>2</v>
      </c>
      <c r="O805" s="3">
        <v>43</v>
      </c>
      <c r="P805" s="3">
        <v>45</v>
      </c>
      <c r="Q805" s="2" t="s">
        <v>2</v>
      </c>
      <c r="R805" s="2" t="s">
        <v>1</v>
      </c>
      <c r="S805" s="2" t="s">
        <v>0</v>
      </c>
    </row>
    <row r="806" spans="1:19" x14ac:dyDescent="0.3">
      <c r="A806">
        <v>805</v>
      </c>
      <c r="B806" s="5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 s="4">
        <v>0.2576</v>
      </c>
      <c r="L806" s="3">
        <v>0.93</v>
      </c>
      <c r="M806" s="3">
        <v>0.22389999999999999</v>
      </c>
      <c r="N806" s="3">
        <v>7</v>
      </c>
      <c r="O806" s="3">
        <v>52</v>
      </c>
      <c r="P806" s="3">
        <v>59</v>
      </c>
      <c r="Q806" s="2" t="s">
        <v>2</v>
      </c>
      <c r="R806" s="2" t="s">
        <v>1</v>
      </c>
      <c r="S806" s="2" t="s">
        <v>0</v>
      </c>
    </row>
    <row r="807" spans="1:19" x14ac:dyDescent="0.3">
      <c r="A807">
        <v>806</v>
      </c>
      <c r="B807" s="5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 s="4">
        <v>0.2576</v>
      </c>
      <c r="L807" s="3">
        <v>0.7</v>
      </c>
      <c r="M807" s="3">
        <v>0.19400000000000001</v>
      </c>
      <c r="N807" s="3">
        <v>2</v>
      </c>
      <c r="O807" s="3">
        <v>37</v>
      </c>
      <c r="P807" s="3">
        <v>39</v>
      </c>
      <c r="Q807" s="2" t="s">
        <v>2</v>
      </c>
      <c r="R807" s="2" t="s">
        <v>1</v>
      </c>
      <c r="S807" s="2" t="s">
        <v>0</v>
      </c>
    </row>
    <row r="808" spans="1:19" x14ac:dyDescent="0.3">
      <c r="A808">
        <v>807</v>
      </c>
      <c r="B808" s="5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 s="4">
        <v>0.2273</v>
      </c>
      <c r="L808" s="3">
        <v>0.65</v>
      </c>
      <c r="M808" s="3">
        <v>0.41789999999999999</v>
      </c>
      <c r="N808" s="3">
        <v>4</v>
      </c>
      <c r="O808" s="3">
        <v>40</v>
      </c>
      <c r="P808" s="3">
        <v>44</v>
      </c>
      <c r="Q808" s="2" t="s">
        <v>2</v>
      </c>
      <c r="R808" s="2" t="s">
        <v>1</v>
      </c>
      <c r="S808" s="2" t="s">
        <v>0</v>
      </c>
    </row>
    <row r="809" spans="1:19" x14ac:dyDescent="0.3">
      <c r="A809">
        <v>808</v>
      </c>
      <c r="B809" s="5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 s="4">
        <v>0.2273</v>
      </c>
      <c r="L809" s="3">
        <v>0.6</v>
      </c>
      <c r="M809" s="3">
        <v>0.32840000000000003</v>
      </c>
      <c r="N809" s="3">
        <v>0</v>
      </c>
      <c r="O809" s="3">
        <v>20</v>
      </c>
      <c r="P809" s="3">
        <v>20</v>
      </c>
      <c r="Q809" s="2" t="s">
        <v>2</v>
      </c>
      <c r="R809" s="2" t="s">
        <v>1</v>
      </c>
      <c r="S809" s="2" t="s">
        <v>0</v>
      </c>
    </row>
    <row r="810" spans="1:19" x14ac:dyDescent="0.3">
      <c r="A810">
        <v>809</v>
      </c>
      <c r="B810" s="5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 s="4">
        <v>0.28789999999999999</v>
      </c>
      <c r="L810" s="3">
        <v>0.6</v>
      </c>
      <c r="M810" s="3">
        <v>8.9599999999999999E-2</v>
      </c>
      <c r="N810" s="3">
        <v>3</v>
      </c>
      <c r="O810" s="3">
        <v>10</v>
      </c>
      <c r="P810" s="3">
        <v>13</v>
      </c>
      <c r="Q810" s="2" t="s">
        <v>2</v>
      </c>
      <c r="R810" s="2" t="s">
        <v>1</v>
      </c>
      <c r="S810" s="2" t="s">
        <v>0</v>
      </c>
    </row>
    <row r="811" spans="1:19" x14ac:dyDescent="0.3">
      <c r="A811">
        <v>810</v>
      </c>
      <c r="B811" s="5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 s="4">
        <v>0.2273</v>
      </c>
      <c r="L811" s="3">
        <v>0.6</v>
      </c>
      <c r="M811" s="3">
        <v>0.35820000000000002</v>
      </c>
      <c r="N811" s="3">
        <v>0</v>
      </c>
      <c r="O811" s="3">
        <v>2</v>
      </c>
      <c r="P811" s="3">
        <v>2</v>
      </c>
      <c r="Q811" s="2" t="s">
        <v>2</v>
      </c>
      <c r="R811" s="2" t="s">
        <v>1</v>
      </c>
      <c r="S811" s="2" t="s">
        <v>0</v>
      </c>
    </row>
    <row r="812" spans="1:19" x14ac:dyDescent="0.3">
      <c r="A812">
        <v>811</v>
      </c>
      <c r="B812" s="5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 s="4">
        <v>0.2576</v>
      </c>
      <c r="L812" s="3">
        <v>0.6</v>
      </c>
      <c r="M812" s="3">
        <v>0.22389999999999999</v>
      </c>
      <c r="N812" s="3">
        <v>0</v>
      </c>
      <c r="O812" s="3">
        <v>1</v>
      </c>
      <c r="P812" s="3">
        <v>1</v>
      </c>
      <c r="Q812" s="2" t="s">
        <v>2</v>
      </c>
      <c r="R812" s="2" t="s">
        <v>1</v>
      </c>
      <c r="S812" s="2" t="s">
        <v>0</v>
      </c>
    </row>
    <row r="813" spans="1:19" x14ac:dyDescent="0.3">
      <c r="A813">
        <v>812</v>
      </c>
      <c r="B813" s="5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 s="4">
        <v>0.2576</v>
      </c>
      <c r="L813" s="3">
        <v>0.6</v>
      </c>
      <c r="M813" s="3">
        <v>0.22389999999999999</v>
      </c>
      <c r="N813" s="3">
        <v>0</v>
      </c>
      <c r="O813" s="3">
        <v>1</v>
      </c>
      <c r="P813" s="3">
        <v>1</v>
      </c>
      <c r="Q813" s="2" t="s">
        <v>2</v>
      </c>
      <c r="R813" s="2" t="s">
        <v>1</v>
      </c>
      <c r="S813" s="2" t="s">
        <v>0</v>
      </c>
    </row>
    <row r="814" spans="1:19" x14ac:dyDescent="0.3">
      <c r="A814">
        <v>813</v>
      </c>
      <c r="B814" s="5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 s="4">
        <v>0.2424</v>
      </c>
      <c r="L814" s="3">
        <v>0.65</v>
      </c>
      <c r="M814" s="3">
        <v>0.16420000000000001</v>
      </c>
      <c r="N814" s="3">
        <v>0</v>
      </c>
      <c r="O814" s="3">
        <v>8</v>
      </c>
      <c r="P814" s="3">
        <v>8</v>
      </c>
      <c r="Q814" s="2" t="s">
        <v>2</v>
      </c>
      <c r="R814" s="2" t="s">
        <v>1</v>
      </c>
      <c r="S814" s="2" t="s">
        <v>0</v>
      </c>
    </row>
    <row r="815" spans="1:19" x14ac:dyDescent="0.3">
      <c r="A815">
        <v>814</v>
      </c>
      <c r="B815" s="5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 s="4">
        <v>0.2576</v>
      </c>
      <c r="L815" s="3">
        <v>0.65</v>
      </c>
      <c r="M815" s="3">
        <v>0.1045</v>
      </c>
      <c r="N815" s="3">
        <v>2</v>
      </c>
      <c r="O815" s="3">
        <v>21</v>
      </c>
      <c r="P815" s="3">
        <v>23</v>
      </c>
      <c r="Q815" s="2" t="s">
        <v>2</v>
      </c>
      <c r="R815" s="2" t="s">
        <v>1</v>
      </c>
      <c r="S815" s="2" t="s">
        <v>0</v>
      </c>
    </row>
    <row r="816" spans="1:19" x14ac:dyDescent="0.3">
      <c r="A816">
        <v>815</v>
      </c>
      <c r="B816" s="5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 s="4">
        <v>0.28789999999999999</v>
      </c>
      <c r="L816" s="3">
        <v>0.56000000000000005</v>
      </c>
      <c r="M816" s="3">
        <v>0.1045</v>
      </c>
      <c r="N816" s="3">
        <v>7</v>
      </c>
      <c r="O816" s="3">
        <v>38</v>
      </c>
      <c r="P816" s="3">
        <v>45</v>
      </c>
      <c r="Q816" s="2" t="s">
        <v>2</v>
      </c>
      <c r="R816" s="2" t="s">
        <v>1</v>
      </c>
      <c r="S816" s="2" t="s">
        <v>0</v>
      </c>
    </row>
    <row r="817" spans="1:19" x14ac:dyDescent="0.3">
      <c r="A817">
        <v>816</v>
      </c>
      <c r="B817" s="5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 s="4">
        <v>0.28789999999999999</v>
      </c>
      <c r="L817" s="3">
        <v>0.52</v>
      </c>
      <c r="M817" s="3">
        <v>0.25369999999999998</v>
      </c>
      <c r="N817" s="3">
        <v>15</v>
      </c>
      <c r="O817" s="3">
        <v>74</v>
      </c>
      <c r="P817" s="3">
        <v>89</v>
      </c>
      <c r="Q817" s="2" t="s">
        <v>2</v>
      </c>
      <c r="R817" s="2" t="s">
        <v>1</v>
      </c>
      <c r="S817" s="2" t="s">
        <v>0</v>
      </c>
    </row>
    <row r="818" spans="1:19" x14ac:dyDescent="0.3">
      <c r="A818">
        <v>817</v>
      </c>
      <c r="B818" s="5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 s="4">
        <v>0.30299999999999999</v>
      </c>
      <c r="L818" s="3">
        <v>0.49</v>
      </c>
      <c r="M818" s="3">
        <v>0.25369999999999998</v>
      </c>
      <c r="N818" s="3">
        <v>28</v>
      </c>
      <c r="O818" s="3">
        <v>89</v>
      </c>
      <c r="P818" s="3">
        <v>117</v>
      </c>
      <c r="Q818" s="2" t="s">
        <v>2</v>
      </c>
      <c r="R818" s="2" t="s">
        <v>1</v>
      </c>
      <c r="S818" s="2" t="s">
        <v>0</v>
      </c>
    </row>
    <row r="819" spans="1:19" x14ac:dyDescent="0.3">
      <c r="A819">
        <v>818</v>
      </c>
      <c r="B819" s="5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 s="4">
        <v>0.33329999999999999</v>
      </c>
      <c r="L819" s="3">
        <v>0.46</v>
      </c>
      <c r="M819" s="3">
        <v>0</v>
      </c>
      <c r="N819" s="3">
        <v>48</v>
      </c>
      <c r="O819" s="3">
        <v>126</v>
      </c>
      <c r="P819" s="3">
        <v>174</v>
      </c>
      <c r="Q819" s="2" t="s">
        <v>2</v>
      </c>
      <c r="R819" s="2" t="s">
        <v>1</v>
      </c>
      <c r="S819" s="2" t="s">
        <v>0</v>
      </c>
    </row>
    <row r="820" spans="1:19" x14ac:dyDescent="0.3">
      <c r="A820">
        <v>819</v>
      </c>
      <c r="B820" s="5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 s="4">
        <v>0.36359999999999998</v>
      </c>
      <c r="L820" s="3">
        <v>0.46</v>
      </c>
      <c r="M820" s="3">
        <v>0</v>
      </c>
      <c r="N820" s="3">
        <v>47</v>
      </c>
      <c r="O820" s="3">
        <v>135</v>
      </c>
      <c r="P820" s="3">
        <v>182</v>
      </c>
      <c r="Q820" s="2" t="s">
        <v>2</v>
      </c>
      <c r="R820" s="2" t="s">
        <v>1</v>
      </c>
      <c r="S820" s="2" t="s">
        <v>0</v>
      </c>
    </row>
    <row r="821" spans="1:19" x14ac:dyDescent="0.3">
      <c r="A821">
        <v>820</v>
      </c>
      <c r="B821" s="5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 s="4">
        <v>0.34849999999999998</v>
      </c>
      <c r="L821" s="3">
        <v>0.46</v>
      </c>
      <c r="M821" s="3">
        <v>8.9599999999999999E-2</v>
      </c>
      <c r="N821" s="3">
        <v>47</v>
      </c>
      <c r="O821" s="3">
        <v>114</v>
      </c>
      <c r="P821" s="3">
        <v>161</v>
      </c>
      <c r="Q821" s="2" t="s">
        <v>2</v>
      </c>
      <c r="R821" s="2" t="s">
        <v>1</v>
      </c>
      <c r="S821" s="2" t="s">
        <v>0</v>
      </c>
    </row>
    <row r="822" spans="1:19" x14ac:dyDescent="0.3">
      <c r="A822">
        <v>821</v>
      </c>
      <c r="B822" s="5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 s="4">
        <v>0.34849999999999998</v>
      </c>
      <c r="L822" s="3">
        <v>0.46</v>
      </c>
      <c r="M822" s="3">
        <v>8.9599999999999999E-2</v>
      </c>
      <c r="N822" s="3">
        <v>52</v>
      </c>
      <c r="O822" s="3">
        <v>130</v>
      </c>
      <c r="P822" s="3">
        <v>182</v>
      </c>
      <c r="Q822" s="2" t="s">
        <v>2</v>
      </c>
      <c r="R822" s="2" t="s">
        <v>1</v>
      </c>
      <c r="S822" s="2" t="s">
        <v>0</v>
      </c>
    </row>
    <row r="823" spans="1:19" x14ac:dyDescent="0.3">
      <c r="A823">
        <v>822</v>
      </c>
      <c r="B823" s="5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 s="4">
        <v>0.34849999999999998</v>
      </c>
      <c r="L823" s="3">
        <v>0.49</v>
      </c>
      <c r="M823" s="3">
        <v>0.1045</v>
      </c>
      <c r="N823" s="3">
        <v>42</v>
      </c>
      <c r="O823" s="3">
        <v>115</v>
      </c>
      <c r="P823" s="3">
        <v>157</v>
      </c>
      <c r="Q823" s="2" t="s">
        <v>2</v>
      </c>
      <c r="R823" s="2" t="s">
        <v>1</v>
      </c>
      <c r="S823" s="2" t="s">
        <v>0</v>
      </c>
    </row>
    <row r="824" spans="1:19" x14ac:dyDescent="0.3">
      <c r="A824">
        <v>823</v>
      </c>
      <c r="B824" s="5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 s="4">
        <v>0.36359999999999998</v>
      </c>
      <c r="L824" s="3">
        <v>0.46</v>
      </c>
      <c r="M824" s="3">
        <v>0</v>
      </c>
      <c r="N824" s="3">
        <v>24</v>
      </c>
      <c r="O824" s="3">
        <v>97</v>
      </c>
      <c r="P824" s="3">
        <v>121</v>
      </c>
      <c r="Q824" s="2" t="s">
        <v>2</v>
      </c>
      <c r="R824" s="2" t="s">
        <v>1</v>
      </c>
      <c r="S824" s="2" t="s">
        <v>0</v>
      </c>
    </row>
    <row r="825" spans="1:19" x14ac:dyDescent="0.3">
      <c r="A825">
        <v>824</v>
      </c>
      <c r="B825" s="5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 s="4">
        <v>0.30299999999999999</v>
      </c>
      <c r="L825" s="3">
        <v>0.56000000000000005</v>
      </c>
      <c r="M825" s="3">
        <v>0.16420000000000001</v>
      </c>
      <c r="N825" s="3">
        <v>13</v>
      </c>
      <c r="O825" s="3">
        <v>65</v>
      </c>
      <c r="P825" s="3">
        <v>78</v>
      </c>
      <c r="Q825" s="2" t="s">
        <v>2</v>
      </c>
      <c r="R825" s="2" t="s">
        <v>1</v>
      </c>
      <c r="S825" s="2" t="s">
        <v>0</v>
      </c>
    </row>
    <row r="826" spans="1:19" x14ac:dyDescent="0.3">
      <c r="A826">
        <v>825</v>
      </c>
      <c r="B826" s="5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 s="4">
        <v>0.28789999999999999</v>
      </c>
      <c r="L826" s="3">
        <v>0.61</v>
      </c>
      <c r="M826" s="3">
        <v>0.1343</v>
      </c>
      <c r="N826" s="3">
        <v>1</v>
      </c>
      <c r="O826" s="3">
        <v>20</v>
      </c>
      <c r="P826" s="3">
        <v>21</v>
      </c>
      <c r="Q826" s="2" t="s">
        <v>2</v>
      </c>
      <c r="R826" s="2" t="s">
        <v>1</v>
      </c>
      <c r="S826" s="2" t="s">
        <v>0</v>
      </c>
    </row>
    <row r="827" spans="1:19" x14ac:dyDescent="0.3">
      <c r="A827">
        <v>826</v>
      </c>
      <c r="B827" s="5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 s="4">
        <v>0.28789999999999999</v>
      </c>
      <c r="L827" s="3">
        <v>0.61</v>
      </c>
      <c r="M827" s="3">
        <v>0.1045</v>
      </c>
      <c r="N827" s="3">
        <v>5</v>
      </c>
      <c r="O827" s="3">
        <v>21</v>
      </c>
      <c r="P827" s="3">
        <v>26</v>
      </c>
      <c r="Q827" s="2" t="s">
        <v>2</v>
      </c>
      <c r="R827" s="2" t="s">
        <v>1</v>
      </c>
      <c r="S827" s="2" t="s">
        <v>0</v>
      </c>
    </row>
    <row r="828" spans="1:19" x14ac:dyDescent="0.3">
      <c r="A828">
        <v>827</v>
      </c>
      <c r="B828" s="5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 s="4">
        <v>0.30299999999999999</v>
      </c>
      <c r="L828" s="3">
        <v>0.6</v>
      </c>
      <c r="M828" s="3">
        <v>0</v>
      </c>
      <c r="N828" s="3">
        <v>5</v>
      </c>
      <c r="O828" s="3">
        <v>22</v>
      </c>
      <c r="P828" s="3">
        <v>27</v>
      </c>
      <c r="Q828" s="2" t="s">
        <v>2</v>
      </c>
      <c r="R828" s="2" t="s">
        <v>1</v>
      </c>
      <c r="S828" s="2" t="s">
        <v>0</v>
      </c>
    </row>
    <row r="829" spans="1:19" x14ac:dyDescent="0.3">
      <c r="A829">
        <v>828</v>
      </c>
      <c r="B829" s="5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 s="4">
        <v>0.30299999999999999</v>
      </c>
      <c r="L829" s="3">
        <v>0.6</v>
      </c>
      <c r="M829" s="3">
        <v>0</v>
      </c>
      <c r="N829" s="3">
        <v>5</v>
      </c>
      <c r="O829" s="3">
        <v>57</v>
      </c>
      <c r="P829" s="3">
        <v>62</v>
      </c>
      <c r="Q829" s="2" t="s">
        <v>2</v>
      </c>
      <c r="R829" s="2" t="s">
        <v>1</v>
      </c>
      <c r="S829" s="2" t="s">
        <v>0</v>
      </c>
    </row>
    <row r="830" spans="1:19" x14ac:dyDescent="0.3">
      <c r="A830">
        <v>829</v>
      </c>
      <c r="B830" s="5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 s="4">
        <v>0.28789999999999999</v>
      </c>
      <c r="L830" s="3">
        <v>0.65</v>
      </c>
      <c r="M830" s="3">
        <v>0</v>
      </c>
      <c r="N830" s="3">
        <v>4</v>
      </c>
      <c r="O830" s="3">
        <v>26</v>
      </c>
      <c r="P830" s="3">
        <v>30</v>
      </c>
      <c r="Q830" s="2" t="s">
        <v>2</v>
      </c>
      <c r="R830" s="2" t="s">
        <v>1</v>
      </c>
      <c r="S830" s="2" t="s">
        <v>0</v>
      </c>
    </row>
    <row r="831" spans="1:19" x14ac:dyDescent="0.3">
      <c r="A831">
        <v>830</v>
      </c>
      <c r="B831" s="5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 s="4">
        <v>0.28789999999999999</v>
      </c>
      <c r="L831" s="3">
        <v>0.65</v>
      </c>
      <c r="M831" s="3">
        <v>0</v>
      </c>
      <c r="N831" s="3">
        <v>1</v>
      </c>
      <c r="O831" s="3">
        <v>14</v>
      </c>
      <c r="P831" s="3">
        <v>15</v>
      </c>
      <c r="Q831" s="2" t="s">
        <v>2</v>
      </c>
      <c r="R831" s="2" t="s">
        <v>1</v>
      </c>
      <c r="S831" s="2" t="s">
        <v>0</v>
      </c>
    </row>
    <row r="832" spans="1:19" x14ac:dyDescent="0.3">
      <c r="A832">
        <v>831</v>
      </c>
      <c r="B832" s="5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 s="4">
        <v>0.2727</v>
      </c>
      <c r="L832" s="3">
        <v>0.75</v>
      </c>
      <c r="M832" s="3">
        <v>0</v>
      </c>
      <c r="N832" s="3">
        <v>1</v>
      </c>
      <c r="O832" s="3">
        <v>4</v>
      </c>
      <c r="P832" s="3">
        <v>5</v>
      </c>
      <c r="Q832" s="2" t="s">
        <v>2</v>
      </c>
      <c r="R832" s="2" t="s">
        <v>1</v>
      </c>
      <c r="S832" s="2" t="s">
        <v>0</v>
      </c>
    </row>
    <row r="833" spans="1:19" x14ac:dyDescent="0.3">
      <c r="A833">
        <v>832</v>
      </c>
      <c r="B833" s="5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 s="4">
        <v>0.2576</v>
      </c>
      <c r="L833" s="3">
        <v>0.8</v>
      </c>
      <c r="M833" s="3">
        <v>0</v>
      </c>
      <c r="N833" s="3">
        <v>0</v>
      </c>
      <c r="O833" s="3">
        <v>3</v>
      </c>
      <c r="P833" s="3">
        <v>3</v>
      </c>
      <c r="Q833" s="2" t="s">
        <v>2</v>
      </c>
      <c r="R833" s="2" t="s">
        <v>1</v>
      </c>
      <c r="S833" s="2" t="s">
        <v>0</v>
      </c>
    </row>
    <row r="834" spans="1:19" x14ac:dyDescent="0.3">
      <c r="A834">
        <v>833</v>
      </c>
      <c r="B834" s="5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 s="4">
        <v>0.2576</v>
      </c>
      <c r="L834" s="3">
        <v>0.86</v>
      </c>
      <c r="M834" s="3">
        <v>0</v>
      </c>
      <c r="N834" s="3">
        <v>0</v>
      </c>
      <c r="O834" s="3">
        <v>1</v>
      </c>
      <c r="P834" s="3">
        <v>1</v>
      </c>
      <c r="Q834" s="2" t="s">
        <v>2</v>
      </c>
      <c r="R834" s="2" t="s">
        <v>1</v>
      </c>
      <c r="S834" s="2" t="s">
        <v>0</v>
      </c>
    </row>
    <row r="835" spans="1:19" x14ac:dyDescent="0.3">
      <c r="A835">
        <v>834</v>
      </c>
      <c r="B835" s="5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 s="4">
        <v>0.2576</v>
      </c>
      <c r="L835" s="3">
        <v>0.86</v>
      </c>
      <c r="M835" s="3">
        <v>0</v>
      </c>
      <c r="N835" s="3">
        <v>1</v>
      </c>
      <c r="O835" s="3">
        <v>1</v>
      </c>
      <c r="P835" s="3">
        <v>2</v>
      </c>
      <c r="Q835" s="2" t="s">
        <v>2</v>
      </c>
      <c r="R835" s="2" t="s">
        <v>1</v>
      </c>
      <c r="S835" s="2" t="s">
        <v>0</v>
      </c>
    </row>
    <row r="836" spans="1:19" x14ac:dyDescent="0.3">
      <c r="A836">
        <v>835</v>
      </c>
      <c r="B836" s="5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 s="4">
        <v>0.2576</v>
      </c>
      <c r="L836" s="3">
        <v>0.86</v>
      </c>
      <c r="M836" s="3">
        <v>0</v>
      </c>
      <c r="N836" s="3">
        <v>1</v>
      </c>
      <c r="O836" s="3">
        <v>9</v>
      </c>
      <c r="P836" s="3">
        <v>10</v>
      </c>
      <c r="Q836" s="2" t="s">
        <v>2</v>
      </c>
      <c r="R836" s="2" t="s">
        <v>1</v>
      </c>
      <c r="S836" s="2" t="s">
        <v>0</v>
      </c>
    </row>
    <row r="837" spans="1:19" x14ac:dyDescent="0.3">
      <c r="A837">
        <v>836</v>
      </c>
      <c r="B837" s="5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 s="4">
        <v>0.2424</v>
      </c>
      <c r="L837" s="3">
        <v>0.93</v>
      </c>
      <c r="M837" s="3">
        <v>0</v>
      </c>
      <c r="N837" s="3">
        <v>1</v>
      </c>
      <c r="O837" s="3">
        <v>29</v>
      </c>
      <c r="P837" s="3">
        <v>30</v>
      </c>
      <c r="Q837" s="2" t="s">
        <v>2</v>
      </c>
      <c r="R837" s="2" t="s">
        <v>1</v>
      </c>
      <c r="S837" s="2" t="s">
        <v>0</v>
      </c>
    </row>
    <row r="838" spans="1:19" x14ac:dyDescent="0.3">
      <c r="A838">
        <v>837</v>
      </c>
      <c r="B838" s="5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 s="4">
        <v>0.2424</v>
      </c>
      <c r="L838" s="3">
        <v>0.86</v>
      </c>
      <c r="M838" s="3">
        <v>0</v>
      </c>
      <c r="N838" s="3">
        <v>6</v>
      </c>
      <c r="O838" s="3">
        <v>89</v>
      </c>
      <c r="P838" s="3">
        <v>95</v>
      </c>
      <c r="Q838" s="2" t="s">
        <v>2</v>
      </c>
      <c r="R838" s="2" t="s">
        <v>1</v>
      </c>
      <c r="S838" s="2" t="s">
        <v>0</v>
      </c>
    </row>
    <row r="839" spans="1:19" x14ac:dyDescent="0.3">
      <c r="A839">
        <v>838</v>
      </c>
      <c r="B839" s="5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 s="4">
        <v>0.2273</v>
      </c>
      <c r="L839" s="3">
        <v>1</v>
      </c>
      <c r="M839" s="3">
        <v>0</v>
      </c>
      <c r="N839" s="3">
        <v>7</v>
      </c>
      <c r="O839" s="3">
        <v>223</v>
      </c>
      <c r="P839" s="3">
        <v>230</v>
      </c>
      <c r="Q839" s="2" t="s">
        <v>2</v>
      </c>
      <c r="R839" s="2" t="s">
        <v>3</v>
      </c>
      <c r="S839" s="2" t="s">
        <v>0</v>
      </c>
    </row>
    <row r="840" spans="1:19" x14ac:dyDescent="0.3">
      <c r="A840">
        <v>839</v>
      </c>
      <c r="B840" s="5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 s="4">
        <v>0.2727</v>
      </c>
      <c r="L840" s="3">
        <v>0.8</v>
      </c>
      <c r="M840" s="3">
        <v>0</v>
      </c>
      <c r="N840" s="3">
        <v>3</v>
      </c>
      <c r="O840" s="3">
        <v>115</v>
      </c>
      <c r="P840" s="3">
        <v>118</v>
      </c>
      <c r="Q840" s="2" t="s">
        <v>2</v>
      </c>
      <c r="R840" s="2" t="s">
        <v>1</v>
      </c>
      <c r="S840" s="2" t="s">
        <v>0</v>
      </c>
    </row>
    <row r="841" spans="1:19" x14ac:dyDescent="0.3">
      <c r="A841">
        <v>840</v>
      </c>
      <c r="B841" s="5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 s="4">
        <v>0.2576</v>
      </c>
      <c r="L841" s="3">
        <v>0.75</v>
      </c>
      <c r="M841" s="3">
        <v>0.1045</v>
      </c>
      <c r="N841" s="3">
        <v>6</v>
      </c>
      <c r="O841" s="3">
        <v>49</v>
      </c>
      <c r="P841" s="3">
        <v>55</v>
      </c>
      <c r="Q841" s="2" t="s">
        <v>2</v>
      </c>
      <c r="R841" s="2" t="s">
        <v>1</v>
      </c>
      <c r="S841" s="2" t="s">
        <v>0</v>
      </c>
    </row>
    <row r="842" spans="1:19" x14ac:dyDescent="0.3">
      <c r="A842">
        <v>841</v>
      </c>
      <c r="B842" s="5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 s="4">
        <v>0.31819999999999998</v>
      </c>
      <c r="L842" s="3">
        <v>0.65</v>
      </c>
      <c r="M842" s="3">
        <v>8.9599999999999999E-2</v>
      </c>
      <c r="N842" s="3">
        <v>11</v>
      </c>
      <c r="O842" s="3">
        <v>36</v>
      </c>
      <c r="P842" s="3">
        <v>47</v>
      </c>
      <c r="Q842" s="2" t="s">
        <v>2</v>
      </c>
      <c r="R842" s="2" t="s">
        <v>1</v>
      </c>
      <c r="S842" s="2" t="s">
        <v>0</v>
      </c>
    </row>
    <row r="843" spans="1:19" x14ac:dyDescent="0.3">
      <c r="A843">
        <v>842</v>
      </c>
      <c r="B843" s="5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 s="4">
        <v>0.34849999999999998</v>
      </c>
      <c r="L843" s="3">
        <v>0.62</v>
      </c>
      <c r="M843" s="3">
        <v>0</v>
      </c>
      <c r="N843" s="3">
        <v>7</v>
      </c>
      <c r="O843" s="3">
        <v>59</v>
      </c>
      <c r="P843" s="3">
        <v>66</v>
      </c>
      <c r="Q843" s="2" t="s">
        <v>2</v>
      </c>
      <c r="R843" s="2" t="s">
        <v>3</v>
      </c>
      <c r="S843" s="2" t="s">
        <v>0</v>
      </c>
    </row>
    <row r="844" spans="1:19" x14ac:dyDescent="0.3">
      <c r="A844">
        <v>843</v>
      </c>
      <c r="B844" s="5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 s="4">
        <v>0.36359999999999998</v>
      </c>
      <c r="L844" s="3">
        <v>0.56999999999999995</v>
      </c>
      <c r="M844" s="3">
        <v>8.9599999999999999E-2</v>
      </c>
      <c r="N844" s="3">
        <v>10</v>
      </c>
      <c r="O844" s="3">
        <v>54</v>
      </c>
      <c r="P844" s="3">
        <v>64</v>
      </c>
      <c r="Q844" s="2" t="s">
        <v>2</v>
      </c>
      <c r="R844" s="2" t="s">
        <v>3</v>
      </c>
      <c r="S844" s="2" t="s">
        <v>0</v>
      </c>
    </row>
    <row r="845" spans="1:19" x14ac:dyDescent="0.3">
      <c r="A845">
        <v>844</v>
      </c>
      <c r="B845" s="5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 s="4">
        <v>0.36359999999999998</v>
      </c>
      <c r="L845" s="3">
        <v>0.56999999999999995</v>
      </c>
      <c r="M845" s="3">
        <v>8.9599999999999999E-2</v>
      </c>
      <c r="N845" s="3">
        <v>8</v>
      </c>
      <c r="O845" s="3">
        <v>52</v>
      </c>
      <c r="P845" s="3">
        <v>60</v>
      </c>
      <c r="Q845" s="2" t="s">
        <v>2</v>
      </c>
      <c r="R845" s="2" t="s">
        <v>3</v>
      </c>
      <c r="S845" s="2" t="s">
        <v>0</v>
      </c>
    </row>
    <row r="846" spans="1:19" x14ac:dyDescent="0.3">
      <c r="A846">
        <v>845</v>
      </c>
      <c r="B846" s="5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 s="4">
        <v>0.39389999999999997</v>
      </c>
      <c r="L846" s="3">
        <v>0.54</v>
      </c>
      <c r="M846" s="3">
        <v>8.9599999999999999E-2</v>
      </c>
      <c r="N846" s="3">
        <v>4</v>
      </c>
      <c r="O846" s="3">
        <v>46</v>
      </c>
      <c r="P846" s="3">
        <v>50</v>
      </c>
      <c r="Q846" s="2" t="s">
        <v>2</v>
      </c>
      <c r="R846" s="2" t="s">
        <v>3</v>
      </c>
      <c r="S846" s="2" t="s">
        <v>0</v>
      </c>
    </row>
    <row r="847" spans="1:19" x14ac:dyDescent="0.3">
      <c r="A847">
        <v>846</v>
      </c>
      <c r="B847" s="5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 s="4">
        <v>0.34849999999999998</v>
      </c>
      <c r="L847" s="3">
        <v>0.56999999999999995</v>
      </c>
      <c r="M847" s="3">
        <v>0.1343</v>
      </c>
      <c r="N847" s="3">
        <v>16</v>
      </c>
      <c r="O847" s="3">
        <v>98</v>
      </c>
      <c r="P847" s="3">
        <v>114</v>
      </c>
      <c r="Q847" s="2" t="s">
        <v>2</v>
      </c>
      <c r="R847" s="2" t="s">
        <v>3</v>
      </c>
      <c r="S847" s="2" t="s">
        <v>0</v>
      </c>
    </row>
    <row r="848" spans="1:19" x14ac:dyDescent="0.3">
      <c r="A848">
        <v>847</v>
      </c>
      <c r="B848" s="5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 s="4">
        <v>0.31819999999999998</v>
      </c>
      <c r="L848" s="3">
        <v>0.7</v>
      </c>
      <c r="M848" s="3">
        <v>0.16420000000000001</v>
      </c>
      <c r="N848" s="3">
        <v>9</v>
      </c>
      <c r="O848" s="3">
        <v>207</v>
      </c>
      <c r="P848" s="3">
        <v>216</v>
      </c>
      <c r="Q848" s="2" t="s">
        <v>2</v>
      </c>
      <c r="R848" s="2" t="s">
        <v>3</v>
      </c>
      <c r="S848" s="2" t="s">
        <v>0</v>
      </c>
    </row>
    <row r="849" spans="1:19" x14ac:dyDescent="0.3">
      <c r="A849">
        <v>848</v>
      </c>
      <c r="B849" s="5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 s="4">
        <v>0.33329999999999999</v>
      </c>
      <c r="L849" s="3">
        <v>0.66</v>
      </c>
      <c r="M849" s="3">
        <v>0.1343</v>
      </c>
      <c r="N849" s="3">
        <v>5</v>
      </c>
      <c r="O849" s="3">
        <v>170</v>
      </c>
      <c r="P849" s="3">
        <v>175</v>
      </c>
      <c r="Q849" s="2" t="s">
        <v>2</v>
      </c>
      <c r="R849" s="2" t="s">
        <v>3</v>
      </c>
      <c r="S849" s="2" t="s">
        <v>0</v>
      </c>
    </row>
    <row r="850" spans="1:19" x14ac:dyDescent="0.3">
      <c r="A850">
        <v>849</v>
      </c>
      <c r="B850" s="5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 s="4">
        <v>0.34849999999999998</v>
      </c>
      <c r="L850" s="3">
        <v>0.7</v>
      </c>
      <c r="M850" s="3">
        <v>0</v>
      </c>
      <c r="N850" s="3">
        <v>5</v>
      </c>
      <c r="O850" s="3">
        <v>123</v>
      </c>
      <c r="P850" s="3">
        <v>128</v>
      </c>
      <c r="Q850" s="2" t="s">
        <v>2</v>
      </c>
      <c r="R850" s="2" t="s">
        <v>3</v>
      </c>
      <c r="S850" s="2" t="s">
        <v>0</v>
      </c>
    </row>
    <row r="851" spans="1:19" x14ac:dyDescent="0.3">
      <c r="A851">
        <v>850</v>
      </c>
      <c r="B851" s="5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 s="4">
        <v>0.33329999999999999</v>
      </c>
      <c r="L851" s="3">
        <v>0.7</v>
      </c>
      <c r="M851" s="3">
        <v>0.1045</v>
      </c>
      <c r="N851" s="3">
        <v>6</v>
      </c>
      <c r="O851" s="3">
        <v>82</v>
      </c>
      <c r="P851" s="3">
        <v>88</v>
      </c>
      <c r="Q851" s="2" t="s">
        <v>2</v>
      </c>
      <c r="R851" s="2" t="s">
        <v>3</v>
      </c>
      <c r="S851" s="2" t="s">
        <v>0</v>
      </c>
    </row>
    <row r="852" spans="1:19" x14ac:dyDescent="0.3">
      <c r="A852">
        <v>851</v>
      </c>
      <c r="B852" s="5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 s="4">
        <v>0.34849999999999998</v>
      </c>
      <c r="L852" s="3">
        <v>0.7</v>
      </c>
      <c r="M852" s="3">
        <v>0</v>
      </c>
      <c r="N852" s="3">
        <v>3</v>
      </c>
      <c r="O852" s="3">
        <v>75</v>
      </c>
      <c r="P852" s="3">
        <v>78</v>
      </c>
      <c r="Q852" s="2" t="s">
        <v>2</v>
      </c>
      <c r="R852" s="2" t="s">
        <v>1</v>
      </c>
      <c r="S852" s="2" t="s">
        <v>0</v>
      </c>
    </row>
    <row r="853" spans="1:19" x14ac:dyDescent="0.3">
      <c r="A853">
        <v>852</v>
      </c>
      <c r="B853" s="5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 s="4">
        <v>0.30299999999999999</v>
      </c>
      <c r="L853" s="3">
        <v>0.81</v>
      </c>
      <c r="M853" s="3">
        <v>8.9599999999999999E-2</v>
      </c>
      <c r="N853" s="3">
        <v>3</v>
      </c>
      <c r="O853" s="3">
        <v>34</v>
      </c>
      <c r="P853" s="3">
        <v>37</v>
      </c>
      <c r="Q853" s="2" t="s">
        <v>2</v>
      </c>
      <c r="R853" s="2" t="s">
        <v>1</v>
      </c>
      <c r="S853" s="2" t="s">
        <v>0</v>
      </c>
    </row>
    <row r="854" spans="1:19" x14ac:dyDescent="0.3">
      <c r="A854">
        <v>853</v>
      </c>
      <c r="B854" s="5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 s="4">
        <v>0.33329999999999999</v>
      </c>
      <c r="L854" s="3">
        <v>0.81</v>
      </c>
      <c r="M854" s="3">
        <v>0</v>
      </c>
      <c r="N854" s="3">
        <v>6</v>
      </c>
      <c r="O854" s="3">
        <v>19</v>
      </c>
      <c r="P854" s="3">
        <v>25</v>
      </c>
      <c r="Q854" s="2" t="s">
        <v>2</v>
      </c>
      <c r="R854" s="2" t="s">
        <v>3</v>
      </c>
      <c r="S854" s="2" t="s">
        <v>0</v>
      </c>
    </row>
    <row r="855" spans="1:19" x14ac:dyDescent="0.3">
      <c r="A855">
        <v>854</v>
      </c>
      <c r="B855" s="5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 s="4">
        <v>0.31819999999999998</v>
      </c>
      <c r="L855" s="3">
        <v>0.87</v>
      </c>
      <c r="M855" s="3">
        <v>0</v>
      </c>
      <c r="N855" s="3">
        <v>4</v>
      </c>
      <c r="O855" s="3">
        <v>6</v>
      </c>
      <c r="P855" s="3">
        <v>10</v>
      </c>
      <c r="Q855" s="2" t="s">
        <v>2</v>
      </c>
      <c r="R855" s="2" t="s">
        <v>3</v>
      </c>
      <c r="S855" s="2" t="s">
        <v>0</v>
      </c>
    </row>
    <row r="856" spans="1:19" x14ac:dyDescent="0.3">
      <c r="A856">
        <v>855</v>
      </c>
      <c r="B856" s="5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 s="4">
        <v>0.31819999999999998</v>
      </c>
      <c r="L856" s="3">
        <v>0.87</v>
      </c>
      <c r="M856" s="3">
        <v>0</v>
      </c>
      <c r="N856" s="3">
        <v>0</v>
      </c>
      <c r="O856" s="3">
        <v>4</v>
      </c>
      <c r="P856" s="3">
        <v>4</v>
      </c>
      <c r="Q856" s="2" t="s">
        <v>2</v>
      </c>
      <c r="R856" s="2" t="s">
        <v>3</v>
      </c>
      <c r="S856" s="2" t="s">
        <v>0</v>
      </c>
    </row>
    <row r="857" spans="1:19" x14ac:dyDescent="0.3">
      <c r="A857">
        <v>856</v>
      </c>
      <c r="B857" s="5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 s="4">
        <v>0.2727</v>
      </c>
      <c r="L857" s="3">
        <v>0.93</v>
      </c>
      <c r="M857" s="3">
        <v>0.1045</v>
      </c>
      <c r="N857" s="3">
        <v>1</v>
      </c>
      <c r="O857" s="3">
        <v>1</v>
      </c>
      <c r="P857" s="3">
        <v>2</v>
      </c>
      <c r="Q857" s="2" t="s">
        <v>2</v>
      </c>
      <c r="R857" s="2" t="s">
        <v>3</v>
      </c>
      <c r="S857" s="2" t="s">
        <v>0</v>
      </c>
    </row>
    <row r="858" spans="1:19" x14ac:dyDescent="0.3">
      <c r="A858">
        <v>857</v>
      </c>
      <c r="B858" s="5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 s="4">
        <v>0.2727</v>
      </c>
      <c r="L858" s="3">
        <v>0.93</v>
      </c>
      <c r="M858" s="3">
        <v>0.16420000000000001</v>
      </c>
      <c r="N858" s="3">
        <v>0</v>
      </c>
      <c r="O858" s="3">
        <v>1</v>
      </c>
      <c r="P858" s="3">
        <v>1</v>
      </c>
      <c r="Q858" s="2" t="s">
        <v>2</v>
      </c>
      <c r="R858" s="2" t="s">
        <v>4</v>
      </c>
      <c r="S858" s="2" t="s">
        <v>0</v>
      </c>
    </row>
    <row r="859" spans="1:19" x14ac:dyDescent="0.3">
      <c r="A859">
        <v>858</v>
      </c>
      <c r="B859" s="5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 s="4">
        <v>0.2576</v>
      </c>
      <c r="L859" s="3">
        <v>0.93</v>
      </c>
      <c r="M859" s="3">
        <v>0.16420000000000001</v>
      </c>
      <c r="N859" s="3">
        <v>0</v>
      </c>
      <c r="O859" s="3">
        <v>3</v>
      </c>
      <c r="P859" s="3">
        <v>3</v>
      </c>
      <c r="Q859" s="2" t="s">
        <v>2</v>
      </c>
      <c r="R859" s="2" t="s">
        <v>1</v>
      </c>
      <c r="S859" s="2" t="s">
        <v>0</v>
      </c>
    </row>
    <row r="860" spans="1:19" x14ac:dyDescent="0.3">
      <c r="A860">
        <v>859</v>
      </c>
      <c r="B860" s="5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 s="4">
        <v>0.2273</v>
      </c>
      <c r="L860" s="3">
        <v>0.81</v>
      </c>
      <c r="M860" s="3">
        <v>0.32840000000000003</v>
      </c>
      <c r="N860" s="3">
        <v>0</v>
      </c>
      <c r="O860" s="3">
        <v>2</v>
      </c>
      <c r="P860" s="3">
        <v>2</v>
      </c>
      <c r="Q860" s="2" t="s">
        <v>2</v>
      </c>
      <c r="R860" s="2" t="s">
        <v>1</v>
      </c>
      <c r="S860" s="2" t="s">
        <v>0</v>
      </c>
    </row>
    <row r="861" spans="1:19" x14ac:dyDescent="0.3">
      <c r="A861">
        <v>860</v>
      </c>
      <c r="B861" s="5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 s="4">
        <v>0.2273</v>
      </c>
      <c r="L861" s="3">
        <v>0.7</v>
      </c>
      <c r="M861" s="3">
        <v>0.32840000000000003</v>
      </c>
      <c r="N861" s="3">
        <v>0</v>
      </c>
      <c r="O861" s="3">
        <v>39</v>
      </c>
      <c r="P861" s="3">
        <v>39</v>
      </c>
      <c r="Q861" s="2" t="s">
        <v>2</v>
      </c>
      <c r="R861" s="2" t="s">
        <v>1</v>
      </c>
      <c r="S861" s="2" t="s">
        <v>0</v>
      </c>
    </row>
    <row r="862" spans="1:19" x14ac:dyDescent="0.3">
      <c r="A862">
        <v>861</v>
      </c>
      <c r="B862" s="5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 s="4">
        <v>0.19700000000000001</v>
      </c>
      <c r="L862" s="3">
        <v>0.65</v>
      </c>
      <c r="M862" s="3">
        <v>0.41789999999999999</v>
      </c>
      <c r="N862" s="3">
        <v>3</v>
      </c>
      <c r="O862" s="3">
        <v>97</v>
      </c>
      <c r="P862" s="3">
        <v>100</v>
      </c>
      <c r="Q862" s="2" t="s">
        <v>2</v>
      </c>
      <c r="R862" s="2" t="s">
        <v>1</v>
      </c>
      <c r="S862" s="2" t="s">
        <v>0</v>
      </c>
    </row>
    <row r="863" spans="1:19" x14ac:dyDescent="0.3">
      <c r="A863">
        <v>862</v>
      </c>
      <c r="B863" s="5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 s="4">
        <v>0.19700000000000001</v>
      </c>
      <c r="L863" s="3">
        <v>0.56000000000000005</v>
      </c>
      <c r="M863" s="3">
        <v>0.49249999999999999</v>
      </c>
      <c r="N863" s="3">
        <v>7</v>
      </c>
      <c r="O863" s="3">
        <v>236</v>
      </c>
      <c r="P863" s="3">
        <v>243</v>
      </c>
      <c r="Q863" s="2" t="s">
        <v>2</v>
      </c>
      <c r="R863" s="2" t="s">
        <v>1</v>
      </c>
      <c r="S863" s="2" t="s">
        <v>0</v>
      </c>
    </row>
    <row r="864" spans="1:19" x14ac:dyDescent="0.3">
      <c r="A864">
        <v>863</v>
      </c>
      <c r="B864" s="5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 s="4">
        <v>0.19700000000000001</v>
      </c>
      <c r="L864" s="3">
        <v>0.52</v>
      </c>
      <c r="M864" s="3">
        <v>0.49249999999999999</v>
      </c>
      <c r="N864" s="3">
        <v>7</v>
      </c>
      <c r="O864" s="3">
        <v>128</v>
      </c>
      <c r="P864" s="3">
        <v>135</v>
      </c>
      <c r="Q864" s="2" t="s">
        <v>2</v>
      </c>
      <c r="R864" s="2" t="s">
        <v>1</v>
      </c>
      <c r="S864" s="2" t="s">
        <v>0</v>
      </c>
    </row>
    <row r="865" spans="1:19" x14ac:dyDescent="0.3">
      <c r="A865">
        <v>864</v>
      </c>
      <c r="B865" s="5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 s="4">
        <v>0.18179999999999999</v>
      </c>
      <c r="L865" s="3">
        <v>0.47</v>
      </c>
      <c r="M865" s="3">
        <v>0.55220000000000002</v>
      </c>
      <c r="N865" s="3">
        <v>4</v>
      </c>
      <c r="O865" s="3">
        <v>44</v>
      </c>
      <c r="P865" s="3">
        <v>48</v>
      </c>
      <c r="Q865" s="2" t="s">
        <v>2</v>
      </c>
      <c r="R865" s="2" t="s">
        <v>1</v>
      </c>
      <c r="S865" s="2" t="s">
        <v>0</v>
      </c>
    </row>
    <row r="866" spans="1:19" x14ac:dyDescent="0.3">
      <c r="A866">
        <v>865</v>
      </c>
      <c r="B866" s="5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 s="4">
        <v>0.18179999999999999</v>
      </c>
      <c r="L866" s="3">
        <v>0.47</v>
      </c>
      <c r="M866" s="3">
        <v>0.4627</v>
      </c>
      <c r="N866" s="3">
        <v>1</v>
      </c>
      <c r="O866" s="3">
        <v>49</v>
      </c>
      <c r="P866" s="3">
        <v>50</v>
      </c>
      <c r="Q866" s="2" t="s">
        <v>2</v>
      </c>
      <c r="R866" s="2" t="s">
        <v>1</v>
      </c>
      <c r="S866" s="2" t="s">
        <v>0</v>
      </c>
    </row>
    <row r="867" spans="1:19" x14ac:dyDescent="0.3">
      <c r="A867">
        <v>866</v>
      </c>
      <c r="B867" s="5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 s="4">
        <v>0.19700000000000001</v>
      </c>
      <c r="L867" s="3">
        <v>0.38</v>
      </c>
      <c r="M867" s="3">
        <v>0.49249999999999999</v>
      </c>
      <c r="N867" s="3">
        <v>2</v>
      </c>
      <c r="O867" s="3">
        <v>63</v>
      </c>
      <c r="P867" s="3">
        <v>65</v>
      </c>
      <c r="Q867" s="2" t="s">
        <v>2</v>
      </c>
      <c r="R867" s="2" t="s">
        <v>1</v>
      </c>
      <c r="S867" s="2" t="s">
        <v>0</v>
      </c>
    </row>
    <row r="868" spans="1:19" x14ac:dyDescent="0.3">
      <c r="A868">
        <v>867</v>
      </c>
      <c r="B868" s="5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 s="4">
        <v>0.19700000000000001</v>
      </c>
      <c r="L868" s="3">
        <v>0.32</v>
      </c>
      <c r="M868" s="3">
        <v>0.44779999999999998</v>
      </c>
      <c r="N868" s="3">
        <v>2</v>
      </c>
      <c r="O868" s="3">
        <v>48</v>
      </c>
      <c r="P868" s="3">
        <v>50</v>
      </c>
      <c r="Q868" s="2" t="s">
        <v>2</v>
      </c>
      <c r="R868" s="2" t="s">
        <v>3</v>
      </c>
      <c r="S868" s="2" t="s">
        <v>0</v>
      </c>
    </row>
    <row r="869" spans="1:19" x14ac:dyDescent="0.3">
      <c r="A869">
        <v>868</v>
      </c>
      <c r="B869" s="5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 s="4">
        <v>0.19700000000000001</v>
      </c>
      <c r="L869" s="3">
        <v>0.37</v>
      </c>
      <c r="M869" s="3">
        <v>0.41789999999999999</v>
      </c>
      <c r="N869" s="3">
        <v>3</v>
      </c>
      <c r="O869" s="3">
        <v>61</v>
      </c>
      <c r="P869" s="3">
        <v>64</v>
      </c>
      <c r="Q869" s="2" t="s">
        <v>2</v>
      </c>
      <c r="R869" s="2" t="s">
        <v>1</v>
      </c>
      <c r="S869" s="2" t="s">
        <v>0</v>
      </c>
    </row>
    <row r="870" spans="1:19" x14ac:dyDescent="0.3">
      <c r="A870">
        <v>869</v>
      </c>
      <c r="B870" s="5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 s="4">
        <v>0.19700000000000001</v>
      </c>
      <c r="L870" s="3">
        <v>0.35</v>
      </c>
      <c r="M870" s="3">
        <v>0.3881</v>
      </c>
      <c r="N870" s="3">
        <v>6</v>
      </c>
      <c r="O870" s="3">
        <v>45</v>
      </c>
      <c r="P870" s="3">
        <v>51</v>
      </c>
      <c r="Q870" s="2" t="s">
        <v>2</v>
      </c>
      <c r="R870" s="2" t="s">
        <v>1</v>
      </c>
      <c r="S870" s="2" t="s">
        <v>0</v>
      </c>
    </row>
    <row r="871" spans="1:19" x14ac:dyDescent="0.3">
      <c r="A871">
        <v>870</v>
      </c>
      <c r="B871" s="5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 s="4">
        <v>0.18179999999999999</v>
      </c>
      <c r="L871" s="3">
        <v>0.35</v>
      </c>
      <c r="M871" s="3">
        <v>0.52239999999999998</v>
      </c>
      <c r="N871" s="3">
        <v>4</v>
      </c>
      <c r="O871" s="3">
        <v>79</v>
      </c>
      <c r="P871" s="3">
        <v>83</v>
      </c>
      <c r="Q871" s="2" t="s">
        <v>2</v>
      </c>
      <c r="R871" s="2" t="s">
        <v>1</v>
      </c>
      <c r="S871" s="2" t="s">
        <v>0</v>
      </c>
    </row>
    <row r="872" spans="1:19" x14ac:dyDescent="0.3">
      <c r="A872">
        <v>871</v>
      </c>
      <c r="B872" s="5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 s="4">
        <v>0.18179999999999999</v>
      </c>
      <c r="L872" s="3">
        <v>0.32</v>
      </c>
      <c r="M872" s="3">
        <v>0.58209999999999995</v>
      </c>
      <c r="N872" s="3">
        <v>4</v>
      </c>
      <c r="O872" s="3">
        <v>172</v>
      </c>
      <c r="P872" s="3">
        <v>176</v>
      </c>
      <c r="Q872" s="2" t="s">
        <v>2</v>
      </c>
      <c r="R872" s="2" t="s">
        <v>1</v>
      </c>
      <c r="S872" s="2" t="s">
        <v>0</v>
      </c>
    </row>
    <row r="873" spans="1:19" x14ac:dyDescent="0.3">
      <c r="A873">
        <v>872</v>
      </c>
      <c r="B873" s="5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 s="4">
        <v>0.18179999999999999</v>
      </c>
      <c r="L873" s="3">
        <v>0.32</v>
      </c>
      <c r="M873" s="3">
        <v>0.3881</v>
      </c>
      <c r="N873" s="3">
        <v>1</v>
      </c>
      <c r="O873" s="3">
        <v>151</v>
      </c>
      <c r="P873" s="3">
        <v>152</v>
      </c>
      <c r="Q873" s="2" t="s">
        <v>2</v>
      </c>
      <c r="R873" s="2" t="s">
        <v>1</v>
      </c>
      <c r="S873" s="2" t="s">
        <v>0</v>
      </c>
    </row>
    <row r="874" spans="1:19" x14ac:dyDescent="0.3">
      <c r="A874">
        <v>873</v>
      </c>
      <c r="B874" s="5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 s="4">
        <v>0.1212</v>
      </c>
      <c r="L874" s="3">
        <v>0.4</v>
      </c>
      <c r="M874" s="3">
        <v>0.4627</v>
      </c>
      <c r="N874" s="3">
        <v>1</v>
      </c>
      <c r="O874" s="3">
        <v>100</v>
      </c>
      <c r="P874" s="3">
        <v>101</v>
      </c>
      <c r="Q874" s="2" t="s">
        <v>2</v>
      </c>
      <c r="R874" s="2" t="s">
        <v>1</v>
      </c>
      <c r="S874" s="2" t="s">
        <v>0</v>
      </c>
    </row>
    <row r="875" spans="1:19" x14ac:dyDescent="0.3">
      <c r="A875">
        <v>874</v>
      </c>
      <c r="B875" s="5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 s="4">
        <v>0.13639999999999999</v>
      </c>
      <c r="L875" s="3">
        <v>0.4</v>
      </c>
      <c r="M875" s="3">
        <v>0.32840000000000003</v>
      </c>
      <c r="N875" s="3">
        <v>3</v>
      </c>
      <c r="O875" s="3">
        <v>53</v>
      </c>
      <c r="P875" s="3">
        <v>56</v>
      </c>
      <c r="Q875" s="2" t="s">
        <v>2</v>
      </c>
      <c r="R875" s="2" t="s">
        <v>1</v>
      </c>
      <c r="S875" s="2" t="s">
        <v>0</v>
      </c>
    </row>
    <row r="876" spans="1:19" x14ac:dyDescent="0.3">
      <c r="A876">
        <v>875</v>
      </c>
      <c r="B876" s="5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 s="4">
        <v>0.1061</v>
      </c>
      <c r="L876" s="3">
        <v>0.33</v>
      </c>
      <c r="M876" s="3">
        <v>0.4627</v>
      </c>
      <c r="N876" s="3">
        <v>8</v>
      </c>
      <c r="O876" s="3">
        <v>46</v>
      </c>
      <c r="P876" s="3">
        <v>54</v>
      </c>
      <c r="Q876" s="2" t="s">
        <v>2</v>
      </c>
      <c r="R876" s="2" t="s">
        <v>1</v>
      </c>
      <c r="S876" s="2" t="s">
        <v>0</v>
      </c>
    </row>
    <row r="877" spans="1:19" x14ac:dyDescent="0.3">
      <c r="A877">
        <v>876</v>
      </c>
      <c r="B877" s="5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 s="4">
        <v>0.1061</v>
      </c>
      <c r="L877" s="3">
        <v>0.33</v>
      </c>
      <c r="M877" s="3">
        <v>0.35820000000000002</v>
      </c>
      <c r="N877" s="3">
        <v>0</v>
      </c>
      <c r="O877" s="3">
        <v>29</v>
      </c>
      <c r="P877" s="3">
        <v>29</v>
      </c>
      <c r="Q877" s="2" t="s">
        <v>2</v>
      </c>
      <c r="R877" s="2" t="s">
        <v>1</v>
      </c>
      <c r="S877" s="2" t="s">
        <v>0</v>
      </c>
    </row>
    <row r="878" spans="1:19" x14ac:dyDescent="0.3">
      <c r="A878">
        <v>877</v>
      </c>
      <c r="B878" s="5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 s="4">
        <v>0.1061</v>
      </c>
      <c r="L878" s="3">
        <v>0.33</v>
      </c>
      <c r="M878" s="3">
        <v>0.32840000000000003</v>
      </c>
      <c r="N878" s="3">
        <v>3</v>
      </c>
      <c r="O878" s="3">
        <v>9</v>
      </c>
      <c r="P878" s="3">
        <v>12</v>
      </c>
      <c r="Q878" s="2" t="s">
        <v>2</v>
      </c>
      <c r="R878" s="2" t="s">
        <v>1</v>
      </c>
      <c r="S878" s="2" t="s">
        <v>0</v>
      </c>
    </row>
    <row r="879" spans="1:19" x14ac:dyDescent="0.3">
      <c r="A879">
        <v>878</v>
      </c>
      <c r="B879" s="5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 s="4">
        <v>7.5800000000000006E-2</v>
      </c>
      <c r="L879" s="3">
        <v>0.36</v>
      </c>
      <c r="M879" s="3">
        <v>0.35820000000000002</v>
      </c>
      <c r="N879" s="3">
        <v>0</v>
      </c>
      <c r="O879" s="3">
        <v>17</v>
      </c>
      <c r="P879" s="3">
        <v>17</v>
      </c>
      <c r="Q879" s="2" t="s">
        <v>2</v>
      </c>
      <c r="R879" s="2" t="s">
        <v>1</v>
      </c>
      <c r="S879" s="2" t="s">
        <v>0</v>
      </c>
    </row>
    <row r="880" spans="1:19" x14ac:dyDescent="0.3">
      <c r="A880">
        <v>879</v>
      </c>
      <c r="B880" s="5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 s="4">
        <v>0.1061</v>
      </c>
      <c r="L880" s="3">
        <v>0.36</v>
      </c>
      <c r="M880" s="3">
        <v>0.22389999999999999</v>
      </c>
      <c r="N880" s="3">
        <v>0</v>
      </c>
      <c r="O880" s="3">
        <v>7</v>
      </c>
      <c r="P880" s="3">
        <v>7</v>
      </c>
      <c r="Q880" s="2" t="s">
        <v>2</v>
      </c>
      <c r="R880" s="2" t="s">
        <v>1</v>
      </c>
      <c r="S880" s="2" t="s">
        <v>0</v>
      </c>
    </row>
    <row r="881" spans="1:19" x14ac:dyDescent="0.3">
      <c r="A881">
        <v>880</v>
      </c>
      <c r="B881" s="5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 s="4">
        <v>7.5800000000000006E-2</v>
      </c>
      <c r="L881" s="3">
        <v>0.38</v>
      </c>
      <c r="M881" s="3">
        <v>0.28360000000000002</v>
      </c>
      <c r="N881" s="3">
        <v>1</v>
      </c>
      <c r="O881" s="3">
        <v>2</v>
      </c>
      <c r="P881" s="3">
        <v>3</v>
      </c>
      <c r="Q881" s="2" t="s">
        <v>2</v>
      </c>
      <c r="R881" s="2" t="s">
        <v>1</v>
      </c>
      <c r="S881" s="2" t="s">
        <v>0</v>
      </c>
    </row>
    <row r="882" spans="1:19" x14ac:dyDescent="0.3">
      <c r="A882">
        <v>881</v>
      </c>
      <c r="B882" s="5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 s="4">
        <v>7.5800000000000006E-2</v>
      </c>
      <c r="L882" s="3">
        <v>0.45</v>
      </c>
      <c r="M882" s="3">
        <v>0.1343</v>
      </c>
      <c r="N882" s="3">
        <v>0</v>
      </c>
      <c r="O882" s="3">
        <v>2</v>
      </c>
      <c r="P882" s="3">
        <v>2</v>
      </c>
      <c r="Q882" s="2" t="s">
        <v>2</v>
      </c>
      <c r="R882" s="2" t="s">
        <v>1</v>
      </c>
      <c r="S882" s="2" t="s">
        <v>0</v>
      </c>
    </row>
    <row r="883" spans="1:19" x14ac:dyDescent="0.3">
      <c r="A883">
        <v>882</v>
      </c>
      <c r="B883" s="5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 s="4">
        <v>0.1061</v>
      </c>
      <c r="L883" s="3">
        <v>0.45</v>
      </c>
      <c r="M883" s="3">
        <v>0.1045</v>
      </c>
      <c r="N883" s="3">
        <v>0</v>
      </c>
      <c r="O883" s="3">
        <v>7</v>
      </c>
      <c r="P883" s="3">
        <v>7</v>
      </c>
      <c r="Q883" s="2" t="s">
        <v>2</v>
      </c>
      <c r="R883" s="2" t="s">
        <v>1</v>
      </c>
      <c r="S883" s="2" t="s">
        <v>0</v>
      </c>
    </row>
    <row r="884" spans="1:19" x14ac:dyDescent="0.3">
      <c r="A884">
        <v>883</v>
      </c>
      <c r="B884" s="5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 s="4">
        <v>0.1515</v>
      </c>
      <c r="L884" s="3">
        <v>0.45</v>
      </c>
      <c r="M884" s="3">
        <v>0</v>
      </c>
      <c r="N884" s="3">
        <v>0</v>
      </c>
      <c r="O884" s="3">
        <v>43</v>
      </c>
      <c r="P884" s="3">
        <v>43</v>
      </c>
      <c r="Q884" s="2" t="s">
        <v>2</v>
      </c>
      <c r="R884" s="2" t="s">
        <v>1</v>
      </c>
      <c r="S884" s="2" t="s">
        <v>0</v>
      </c>
    </row>
    <row r="885" spans="1:19" x14ac:dyDescent="0.3">
      <c r="A885">
        <v>884</v>
      </c>
      <c r="B885" s="5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 s="4">
        <v>0.1061</v>
      </c>
      <c r="L885" s="3">
        <v>0.49</v>
      </c>
      <c r="M885" s="3">
        <v>0.1045</v>
      </c>
      <c r="N885" s="3">
        <v>4</v>
      </c>
      <c r="O885" s="3">
        <v>95</v>
      </c>
      <c r="P885" s="3">
        <v>99</v>
      </c>
      <c r="Q885" s="2" t="s">
        <v>2</v>
      </c>
      <c r="R885" s="2" t="s">
        <v>1</v>
      </c>
      <c r="S885" s="2" t="s">
        <v>0</v>
      </c>
    </row>
    <row r="886" spans="1:19" x14ac:dyDescent="0.3">
      <c r="A886">
        <v>885</v>
      </c>
      <c r="B886" s="5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 s="4">
        <v>0.13639999999999999</v>
      </c>
      <c r="L886" s="3">
        <v>0.42</v>
      </c>
      <c r="M886" s="3">
        <v>0</v>
      </c>
      <c r="N886" s="3">
        <v>1</v>
      </c>
      <c r="O886" s="3">
        <v>198</v>
      </c>
      <c r="P886" s="3">
        <v>199</v>
      </c>
      <c r="Q886" s="2" t="s">
        <v>2</v>
      </c>
      <c r="R886" s="2" t="s">
        <v>1</v>
      </c>
      <c r="S886" s="2" t="s">
        <v>0</v>
      </c>
    </row>
    <row r="887" spans="1:19" x14ac:dyDescent="0.3">
      <c r="A887">
        <v>886</v>
      </c>
      <c r="B887" s="5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 s="4">
        <v>0.13639999999999999</v>
      </c>
      <c r="L887" s="3">
        <v>0.39</v>
      </c>
      <c r="M887" s="3">
        <v>0.16420000000000001</v>
      </c>
      <c r="N887" s="3">
        <v>4</v>
      </c>
      <c r="O887" s="3">
        <v>119</v>
      </c>
      <c r="P887" s="3">
        <v>123</v>
      </c>
      <c r="Q887" s="2" t="s">
        <v>2</v>
      </c>
      <c r="R887" s="2" t="s">
        <v>1</v>
      </c>
      <c r="S887" s="2" t="s">
        <v>0</v>
      </c>
    </row>
    <row r="888" spans="1:19" x14ac:dyDescent="0.3">
      <c r="A888">
        <v>887</v>
      </c>
      <c r="B888" s="5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 s="4">
        <v>0.18179999999999999</v>
      </c>
      <c r="L888" s="3">
        <v>0.36</v>
      </c>
      <c r="M888" s="3">
        <v>0</v>
      </c>
      <c r="N888" s="3">
        <v>8</v>
      </c>
      <c r="O888" s="3">
        <v>51</v>
      </c>
      <c r="P888" s="3">
        <v>59</v>
      </c>
      <c r="Q888" s="2" t="s">
        <v>2</v>
      </c>
      <c r="R888" s="2" t="s">
        <v>1</v>
      </c>
      <c r="S888" s="2" t="s">
        <v>0</v>
      </c>
    </row>
    <row r="889" spans="1:19" x14ac:dyDescent="0.3">
      <c r="A889">
        <v>888</v>
      </c>
      <c r="B889" s="5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 s="4">
        <v>0.1515</v>
      </c>
      <c r="L889" s="3">
        <v>0.43</v>
      </c>
      <c r="M889" s="3">
        <v>0.16420000000000001</v>
      </c>
      <c r="N889" s="3">
        <v>1</v>
      </c>
      <c r="O889" s="3">
        <v>40</v>
      </c>
      <c r="P889" s="3">
        <v>41</v>
      </c>
      <c r="Q889" s="2" t="s">
        <v>2</v>
      </c>
      <c r="R889" s="2" t="s">
        <v>3</v>
      </c>
      <c r="S889" s="2" t="s">
        <v>0</v>
      </c>
    </row>
    <row r="890" spans="1:19" x14ac:dyDescent="0.3">
      <c r="A890">
        <v>889</v>
      </c>
      <c r="B890" s="5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 s="4">
        <v>0.18179999999999999</v>
      </c>
      <c r="L890" s="3">
        <v>0.4</v>
      </c>
      <c r="M890" s="3">
        <v>0.22389999999999999</v>
      </c>
      <c r="N890" s="3">
        <v>4</v>
      </c>
      <c r="O890" s="3">
        <v>57</v>
      </c>
      <c r="P890" s="3">
        <v>61</v>
      </c>
      <c r="Q890" s="2" t="s">
        <v>2</v>
      </c>
      <c r="R890" s="2" t="s">
        <v>3</v>
      </c>
      <c r="S890" s="2" t="s">
        <v>0</v>
      </c>
    </row>
    <row r="891" spans="1:19" x14ac:dyDescent="0.3">
      <c r="A891">
        <v>890</v>
      </c>
      <c r="B891" s="5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 s="4">
        <v>0.16669999999999999</v>
      </c>
      <c r="L891" s="3">
        <v>0.4</v>
      </c>
      <c r="M891" s="3">
        <v>0.25369999999999998</v>
      </c>
      <c r="N891" s="3">
        <v>2</v>
      </c>
      <c r="O891" s="3">
        <v>67</v>
      </c>
      <c r="P891" s="3">
        <v>69</v>
      </c>
      <c r="Q891" s="2" t="s">
        <v>2</v>
      </c>
      <c r="R891" s="2" t="s">
        <v>1</v>
      </c>
      <c r="S891" s="2" t="s">
        <v>0</v>
      </c>
    </row>
    <row r="892" spans="1:19" x14ac:dyDescent="0.3">
      <c r="A892">
        <v>891</v>
      </c>
      <c r="B892" s="5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 s="4">
        <v>0.18179999999999999</v>
      </c>
      <c r="L892" s="3">
        <v>0.34</v>
      </c>
      <c r="M892" s="3">
        <v>0.29849999999999999</v>
      </c>
      <c r="N892" s="3">
        <v>2</v>
      </c>
      <c r="O892" s="3">
        <v>56</v>
      </c>
      <c r="P892" s="3">
        <v>58</v>
      </c>
      <c r="Q892" s="2" t="s">
        <v>2</v>
      </c>
      <c r="R892" s="2" t="s">
        <v>1</v>
      </c>
      <c r="S892" s="2" t="s">
        <v>0</v>
      </c>
    </row>
    <row r="893" spans="1:19" x14ac:dyDescent="0.3">
      <c r="A893">
        <v>892</v>
      </c>
      <c r="B893" s="5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 s="4">
        <v>0.18179999999999999</v>
      </c>
      <c r="L893" s="3">
        <v>0.34</v>
      </c>
      <c r="M893" s="3">
        <v>0.28360000000000002</v>
      </c>
      <c r="N893" s="3">
        <v>3</v>
      </c>
      <c r="O893" s="3">
        <v>61</v>
      </c>
      <c r="P893" s="3">
        <v>64</v>
      </c>
      <c r="Q893" s="2" t="s">
        <v>2</v>
      </c>
      <c r="R893" s="2" t="s">
        <v>3</v>
      </c>
      <c r="S893" s="2" t="s">
        <v>0</v>
      </c>
    </row>
    <row r="894" spans="1:19" x14ac:dyDescent="0.3">
      <c r="A894">
        <v>893</v>
      </c>
      <c r="B894" s="5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 s="4">
        <v>0.19700000000000001</v>
      </c>
      <c r="L894" s="3">
        <v>0.37</v>
      </c>
      <c r="M894" s="3">
        <v>0.25369999999999998</v>
      </c>
      <c r="N894" s="3">
        <v>7</v>
      </c>
      <c r="O894" s="3">
        <v>72</v>
      </c>
      <c r="P894" s="3">
        <v>79</v>
      </c>
      <c r="Q894" s="2" t="s">
        <v>2</v>
      </c>
      <c r="R894" s="2" t="s">
        <v>3</v>
      </c>
      <c r="S894" s="2" t="s">
        <v>0</v>
      </c>
    </row>
    <row r="895" spans="1:19" x14ac:dyDescent="0.3">
      <c r="A895">
        <v>894</v>
      </c>
      <c r="B895" s="5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 s="4">
        <v>0.19700000000000001</v>
      </c>
      <c r="L895" s="3">
        <v>0.34</v>
      </c>
      <c r="M895" s="3">
        <v>0.25369999999999998</v>
      </c>
      <c r="N895" s="3">
        <v>9</v>
      </c>
      <c r="O895" s="3">
        <v>157</v>
      </c>
      <c r="P895" s="3">
        <v>166</v>
      </c>
      <c r="Q895" s="2" t="s">
        <v>2</v>
      </c>
      <c r="R895" s="2" t="s">
        <v>3</v>
      </c>
      <c r="S895" s="2" t="s">
        <v>0</v>
      </c>
    </row>
    <row r="896" spans="1:19" x14ac:dyDescent="0.3">
      <c r="A896">
        <v>895</v>
      </c>
      <c r="B896" s="5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 s="4">
        <v>0.16669999999999999</v>
      </c>
      <c r="L896" s="3">
        <v>0.47</v>
      </c>
      <c r="M896" s="3">
        <v>0.29849999999999999</v>
      </c>
      <c r="N896" s="3">
        <v>2</v>
      </c>
      <c r="O896" s="3">
        <v>168</v>
      </c>
      <c r="P896" s="3">
        <v>170</v>
      </c>
      <c r="Q896" s="2" t="s">
        <v>2</v>
      </c>
      <c r="R896" s="2" t="s">
        <v>3</v>
      </c>
      <c r="S896" s="2" t="s">
        <v>0</v>
      </c>
    </row>
    <row r="897" spans="1:19" x14ac:dyDescent="0.3">
      <c r="A897">
        <v>896</v>
      </c>
      <c r="B897" s="5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 s="4">
        <v>0.1212</v>
      </c>
      <c r="L897" s="3">
        <v>0.86</v>
      </c>
      <c r="M897" s="3">
        <v>0.25369999999999998</v>
      </c>
      <c r="N897" s="3">
        <v>1</v>
      </c>
      <c r="O897" s="3">
        <v>87</v>
      </c>
      <c r="P897" s="3">
        <v>88</v>
      </c>
      <c r="Q897" s="2" t="s">
        <v>2</v>
      </c>
      <c r="R897" s="2" t="s">
        <v>4</v>
      </c>
      <c r="S897" s="2" t="s">
        <v>0</v>
      </c>
    </row>
    <row r="898" spans="1:19" x14ac:dyDescent="0.3">
      <c r="A898">
        <v>897</v>
      </c>
      <c r="B898" s="5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 s="4">
        <v>0.1515</v>
      </c>
      <c r="L898" s="3">
        <v>0.86</v>
      </c>
      <c r="M898" s="3">
        <v>0.16420000000000001</v>
      </c>
      <c r="N898" s="3">
        <v>0</v>
      </c>
      <c r="O898" s="3">
        <v>84</v>
      </c>
      <c r="P898" s="3">
        <v>84</v>
      </c>
      <c r="Q898" s="2" t="s">
        <v>2</v>
      </c>
      <c r="R898" s="2" t="s">
        <v>4</v>
      </c>
      <c r="S898" s="2" t="s">
        <v>0</v>
      </c>
    </row>
    <row r="899" spans="1:19" x14ac:dyDescent="0.3">
      <c r="A899">
        <v>898</v>
      </c>
      <c r="B899" s="5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 s="4">
        <v>0.1515</v>
      </c>
      <c r="L899" s="3">
        <v>0.86</v>
      </c>
      <c r="M899" s="3">
        <v>0.16420000000000001</v>
      </c>
      <c r="N899" s="3">
        <v>0</v>
      </c>
      <c r="O899" s="3">
        <v>83</v>
      </c>
      <c r="P899" s="3">
        <v>83</v>
      </c>
      <c r="Q899" s="2" t="s">
        <v>2</v>
      </c>
      <c r="R899" s="2" t="s">
        <v>3</v>
      </c>
      <c r="S899" s="2" t="s">
        <v>0</v>
      </c>
    </row>
    <row r="900" spans="1:19" x14ac:dyDescent="0.3">
      <c r="A900">
        <v>899</v>
      </c>
      <c r="B900" s="5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 s="4">
        <v>0.16669999999999999</v>
      </c>
      <c r="L900" s="3">
        <v>0.8</v>
      </c>
      <c r="M900" s="3">
        <v>0.16420000000000001</v>
      </c>
      <c r="N900" s="3">
        <v>4</v>
      </c>
      <c r="O900" s="3">
        <v>42</v>
      </c>
      <c r="P900" s="3">
        <v>46</v>
      </c>
      <c r="Q900" s="2" t="s">
        <v>2</v>
      </c>
      <c r="R900" s="2" t="s">
        <v>4</v>
      </c>
      <c r="S900" s="2" t="s">
        <v>0</v>
      </c>
    </row>
    <row r="901" spans="1:19" x14ac:dyDescent="0.3">
      <c r="A901">
        <v>900</v>
      </c>
      <c r="B901" s="5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 s="4">
        <v>0.1515</v>
      </c>
      <c r="L901" s="3">
        <v>0.8</v>
      </c>
      <c r="M901" s="3">
        <v>0.19400000000000001</v>
      </c>
      <c r="N901" s="3">
        <v>0</v>
      </c>
      <c r="O901" s="3">
        <v>37</v>
      </c>
      <c r="P901" s="3">
        <v>37</v>
      </c>
      <c r="Q901" s="2" t="s">
        <v>2</v>
      </c>
      <c r="R901" s="2" t="s">
        <v>4</v>
      </c>
      <c r="S901" s="2" t="s">
        <v>0</v>
      </c>
    </row>
    <row r="902" spans="1:19" x14ac:dyDescent="0.3">
      <c r="A902">
        <v>901</v>
      </c>
      <c r="B902" s="5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 s="4">
        <v>0.13639999999999999</v>
      </c>
      <c r="L902" s="3">
        <v>0.86</v>
      </c>
      <c r="M902" s="3">
        <v>0.19400000000000001</v>
      </c>
      <c r="N902" s="3">
        <v>0</v>
      </c>
      <c r="O902" s="3">
        <v>16</v>
      </c>
      <c r="P902" s="3">
        <v>16</v>
      </c>
      <c r="Q902" s="2" t="s">
        <v>2</v>
      </c>
      <c r="R902" s="2" t="s">
        <v>4</v>
      </c>
      <c r="S902" s="2" t="s">
        <v>0</v>
      </c>
    </row>
    <row r="903" spans="1:19" x14ac:dyDescent="0.3">
      <c r="A903">
        <v>902</v>
      </c>
      <c r="B903" s="5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 s="4">
        <v>0.1515</v>
      </c>
      <c r="L903" s="3">
        <v>0.8</v>
      </c>
      <c r="M903" s="3">
        <v>0.1343</v>
      </c>
      <c r="N903" s="3">
        <v>0</v>
      </c>
      <c r="O903" s="3">
        <v>7</v>
      </c>
      <c r="P903" s="3">
        <v>7</v>
      </c>
      <c r="Q903" s="2" t="s">
        <v>2</v>
      </c>
      <c r="R903" s="2" t="s">
        <v>4</v>
      </c>
      <c r="S903" s="2" t="s">
        <v>0</v>
      </c>
    </row>
    <row r="904" spans="1:19" x14ac:dyDescent="0.3">
      <c r="A904">
        <v>903</v>
      </c>
      <c r="B904" s="5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 s="4">
        <v>0.1515</v>
      </c>
      <c r="L904" s="3">
        <v>0.8</v>
      </c>
      <c r="M904" s="3">
        <v>0.1343</v>
      </c>
      <c r="N904" s="3">
        <v>0</v>
      </c>
      <c r="O904" s="3">
        <v>3</v>
      </c>
      <c r="P904" s="3">
        <v>3</v>
      </c>
      <c r="Q904" s="2" t="s">
        <v>2</v>
      </c>
      <c r="R904" s="2" t="s">
        <v>4</v>
      </c>
      <c r="S904" s="2" t="s">
        <v>0</v>
      </c>
    </row>
    <row r="905" spans="1:19" x14ac:dyDescent="0.3">
      <c r="A905">
        <v>904</v>
      </c>
      <c r="B905" s="5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 s="4">
        <v>0.13639999999999999</v>
      </c>
      <c r="L905" s="3">
        <v>0.59</v>
      </c>
      <c r="M905" s="3">
        <v>0.22389999999999999</v>
      </c>
      <c r="N905" s="3">
        <v>0</v>
      </c>
      <c r="O905" s="3">
        <v>1</v>
      </c>
      <c r="P905" s="3">
        <v>1</v>
      </c>
      <c r="Q905" s="2" t="s">
        <v>2</v>
      </c>
      <c r="R905" s="2" t="s">
        <v>3</v>
      </c>
      <c r="S905" s="2" t="s">
        <v>0</v>
      </c>
    </row>
    <row r="906" spans="1:19" x14ac:dyDescent="0.3">
      <c r="A906">
        <v>905</v>
      </c>
      <c r="B906" s="5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 s="4">
        <v>0.1212</v>
      </c>
      <c r="L906" s="3">
        <v>0.5</v>
      </c>
      <c r="M906" s="3">
        <v>0.22389999999999999</v>
      </c>
      <c r="N906" s="3">
        <v>0</v>
      </c>
      <c r="O906" s="3">
        <v>6</v>
      </c>
      <c r="P906" s="3">
        <v>6</v>
      </c>
      <c r="Q906" s="2" t="s">
        <v>2</v>
      </c>
      <c r="R906" s="2" t="s">
        <v>3</v>
      </c>
      <c r="S906" s="2" t="s">
        <v>0</v>
      </c>
    </row>
    <row r="907" spans="1:19" x14ac:dyDescent="0.3">
      <c r="A907">
        <v>906</v>
      </c>
      <c r="B907" s="5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 s="4">
        <v>0.1212</v>
      </c>
      <c r="L907" s="3">
        <v>0.54</v>
      </c>
      <c r="M907" s="3">
        <v>0.28360000000000002</v>
      </c>
      <c r="N907" s="3">
        <v>0</v>
      </c>
      <c r="O907" s="3">
        <v>26</v>
      </c>
      <c r="P907" s="3">
        <v>26</v>
      </c>
      <c r="Q907" s="2" t="s">
        <v>2</v>
      </c>
      <c r="R907" s="2" t="s">
        <v>3</v>
      </c>
      <c r="S907" s="2" t="s">
        <v>0</v>
      </c>
    </row>
    <row r="908" spans="1:19" x14ac:dyDescent="0.3">
      <c r="A908">
        <v>907</v>
      </c>
      <c r="B908" s="5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 s="4">
        <v>7.5800000000000006E-2</v>
      </c>
      <c r="L908" s="3">
        <v>0.5</v>
      </c>
      <c r="M908" s="3">
        <v>0.41789999999999999</v>
      </c>
      <c r="N908" s="3">
        <v>0</v>
      </c>
      <c r="O908" s="3">
        <v>99</v>
      </c>
      <c r="P908" s="3">
        <v>99</v>
      </c>
      <c r="Q908" s="2" t="s">
        <v>2</v>
      </c>
      <c r="R908" s="2" t="s">
        <v>1</v>
      </c>
      <c r="S908" s="2" t="s">
        <v>0</v>
      </c>
    </row>
    <row r="909" spans="1:19" x14ac:dyDescent="0.3">
      <c r="A909">
        <v>908</v>
      </c>
      <c r="B909" s="5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 s="4">
        <v>7.5800000000000006E-2</v>
      </c>
      <c r="L909" s="3">
        <v>0.49</v>
      </c>
      <c r="M909" s="3">
        <v>0.32840000000000003</v>
      </c>
      <c r="N909" s="3">
        <v>5</v>
      </c>
      <c r="O909" s="3">
        <v>173</v>
      </c>
      <c r="P909" s="3">
        <v>178</v>
      </c>
      <c r="Q909" s="2" t="s">
        <v>2</v>
      </c>
      <c r="R909" s="2" t="s">
        <v>1</v>
      </c>
      <c r="S909" s="2" t="s">
        <v>0</v>
      </c>
    </row>
    <row r="910" spans="1:19" x14ac:dyDescent="0.3">
      <c r="A910">
        <v>909</v>
      </c>
      <c r="B910" s="5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 s="4">
        <v>0.1061</v>
      </c>
      <c r="L910" s="3">
        <v>0.42</v>
      </c>
      <c r="M910" s="3">
        <v>0.35820000000000002</v>
      </c>
      <c r="N910" s="3">
        <v>1</v>
      </c>
      <c r="O910" s="3">
        <v>121</v>
      </c>
      <c r="P910" s="3">
        <v>122</v>
      </c>
      <c r="Q910" s="2" t="s">
        <v>2</v>
      </c>
      <c r="R910" s="2" t="s">
        <v>1</v>
      </c>
      <c r="S910" s="2" t="s">
        <v>0</v>
      </c>
    </row>
    <row r="911" spans="1:19" x14ac:dyDescent="0.3">
      <c r="A911">
        <v>910</v>
      </c>
      <c r="B911" s="5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 s="4">
        <v>0.1061</v>
      </c>
      <c r="L911" s="3">
        <v>0.42</v>
      </c>
      <c r="M911" s="3">
        <v>0.29849999999999999</v>
      </c>
      <c r="N911" s="3">
        <v>1</v>
      </c>
      <c r="O911" s="3">
        <v>34</v>
      </c>
      <c r="P911" s="3">
        <v>35</v>
      </c>
      <c r="Q911" s="2" t="s">
        <v>2</v>
      </c>
      <c r="R911" s="2" t="s">
        <v>1</v>
      </c>
      <c r="S911" s="2" t="s">
        <v>0</v>
      </c>
    </row>
    <row r="912" spans="1:19" x14ac:dyDescent="0.3">
      <c r="A912">
        <v>911</v>
      </c>
      <c r="B912" s="5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 s="4">
        <v>0.1212</v>
      </c>
      <c r="L912" s="3">
        <v>0.39</v>
      </c>
      <c r="M912" s="3">
        <v>0.35820000000000002</v>
      </c>
      <c r="N912" s="3">
        <v>1</v>
      </c>
      <c r="O912" s="3">
        <v>44</v>
      </c>
      <c r="P912" s="3">
        <v>45</v>
      </c>
      <c r="Q912" s="2" t="s">
        <v>2</v>
      </c>
      <c r="R912" s="2" t="s">
        <v>1</v>
      </c>
      <c r="S912" s="2" t="s">
        <v>0</v>
      </c>
    </row>
    <row r="913" spans="1:19" x14ac:dyDescent="0.3">
      <c r="A913">
        <v>912</v>
      </c>
      <c r="B913" s="5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 s="4">
        <v>0.13639999999999999</v>
      </c>
      <c r="L913" s="3">
        <v>0.34</v>
      </c>
      <c r="M913" s="3">
        <v>0.3881</v>
      </c>
      <c r="N913" s="3">
        <v>4</v>
      </c>
      <c r="O913" s="3">
        <v>65</v>
      </c>
      <c r="P913" s="3">
        <v>69</v>
      </c>
      <c r="Q913" s="2" t="s">
        <v>2</v>
      </c>
      <c r="R913" s="2" t="s">
        <v>1</v>
      </c>
      <c r="S913" s="2" t="s">
        <v>0</v>
      </c>
    </row>
    <row r="914" spans="1:19" x14ac:dyDescent="0.3">
      <c r="A914">
        <v>913</v>
      </c>
      <c r="B914" s="5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 s="4">
        <v>0.16669999999999999</v>
      </c>
      <c r="L914" s="3">
        <v>0.28999999999999998</v>
      </c>
      <c r="M914" s="3">
        <v>0.29849999999999999</v>
      </c>
      <c r="N914" s="3">
        <v>3</v>
      </c>
      <c r="O914" s="3">
        <v>59</v>
      </c>
      <c r="P914" s="3">
        <v>62</v>
      </c>
      <c r="Q914" s="2" t="s">
        <v>2</v>
      </c>
      <c r="R914" s="2" t="s">
        <v>1</v>
      </c>
      <c r="S914" s="2" t="s">
        <v>0</v>
      </c>
    </row>
    <row r="915" spans="1:19" x14ac:dyDescent="0.3">
      <c r="A915">
        <v>914</v>
      </c>
      <c r="B915" s="5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 s="4">
        <v>0.18179999999999999</v>
      </c>
      <c r="L915" s="3">
        <v>0.27</v>
      </c>
      <c r="M915" s="3">
        <v>0.28360000000000002</v>
      </c>
      <c r="N915" s="3">
        <v>6</v>
      </c>
      <c r="O915" s="3">
        <v>42</v>
      </c>
      <c r="P915" s="3">
        <v>48</v>
      </c>
      <c r="Q915" s="2" t="s">
        <v>2</v>
      </c>
      <c r="R915" s="2" t="s">
        <v>1</v>
      </c>
      <c r="S915" s="2" t="s">
        <v>0</v>
      </c>
    </row>
    <row r="916" spans="1:19" x14ac:dyDescent="0.3">
      <c r="A916">
        <v>915</v>
      </c>
      <c r="B916" s="5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 s="4">
        <v>0.19700000000000001</v>
      </c>
      <c r="L916" s="3">
        <v>0.25</v>
      </c>
      <c r="M916" s="3">
        <v>0.25369999999999998</v>
      </c>
      <c r="N916" s="3">
        <v>0</v>
      </c>
      <c r="O916" s="3">
        <v>50</v>
      </c>
      <c r="P916" s="3">
        <v>50</v>
      </c>
      <c r="Q916" s="2" t="s">
        <v>2</v>
      </c>
      <c r="R916" s="2" t="s">
        <v>1</v>
      </c>
      <c r="S916" s="2" t="s">
        <v>0</v>
      </c>
    </row>
    <row r="917" spans="1:19" x14ac:dyDescent="0.3">
      <c r="A917">
        <v>916</v>
      </c>
      <c r="B917" s="5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 s="4">
        <v>0.18179999999999999</v>
      </c>
      <c r="L917" s="3">
        <v>0.27</v>
      </c>
      <c r="M917" s="3">
        <v>0.29849999999999999</v>
      </c>
      <c r="N917" s="3">
        <v>4</v>
      </c>
      <c r="O917" s="3">
        <v>76</v>
      </c>
      <c r="P917" s="3">
        <v>80</v>
      </c>
      <c r="Q917" s="2" t="s">
        <v>2</v>
      </c>
      <c r="R917" s="2" t="s">
        <v>1</v>
      </c>
      <c r="S917" s="2" t="s">
        <v>0</v>
      </c>
    </row>
    <row r="918" spans="1:19" x14ac:dyDescent="0.3">
      <c r="A918">
        <v>917</v>
      </c>
      <c r="B918" s="5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 s="4">
        <v>0.18179999999999999</v>
      </c>
      <c r="L918" s="3">
        <v>0.26</v>
      </c>
      <c r="M918" s="3">
        <v>0.19400000000000001</v>
      </c>
      <c r="N918" s="3">
        <v>6</v>
      </c>
      <c r="O918" s="3">
        <v>159</v>
      </c>
      <c r="P918" s="3">
        <v>165</v>
      </c>
      <c r="Q918" s="2" t="s">
        <v>2</v>
      </c>
      <c r="R918" s="2" t="s">
        <v>1</v>
      </c>
      <c r="S918" s="2" t="s">
        <v>0</v>
      </c>
    </row>
    <row r="919" spans="1:19" x14ac:dyDescent="0.3">
      <c r="A919">
        <v>918</v>
      </c>
      <c r="B919" s="5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 s="4">
        <v>0.18179999999999999</v>
      </c>
      <c r="L919" s="3">
        <v>0.28000000000000003</v>
      </c>
      <c r="M919" s="3">
        <v>0.1343</v>
      </c>
      <c r="N919" s="3">
        <v>3</v>
      </c>
      <c r="O919" s="3">
        <v>157</v>
      </c>
      <c r="P919" s="3">
        <v>160</v>
      </c>
      <c r="Q919" s="2" t="s">
        <v>2</v>
      </c>
      <c r="R919" s="2" t="s">
        <v>1</v>
      </c>
      <c r="S919" s="2" t="s">
        <v>0</v>
      </c>
    </row>
    <row r="920" spans="1:19" x14ac:dyDescent="0.3">
      <c r="A920">
        <v>919</v>
      </c>
      <c r="B920" s="5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 s="4">
        <v>0.16669999999999999</v>
      </c>
      <c r="L920" s="3">
        <v>0.28000000000000003</v>
      </c>
      <c r="M920" s="3">
        <v>0.1045</v>
      </c>
      <c r="N920" s="3">
        <v>2</v>
      </c>
      <c r="O920" s="3">
        <v>110</v>
      </c>
      <c r="P920" s="3">
        <v>112</v>
      </c>
      <c r="Q920" s="2" t="s">
        <v>2</v>
      </c>
      <c r="R920" s="2" t="s">
        <v>1</v>
      </c>
      <c r="S920" s="2" t="s">
        <v>0</v>
      </c>
    </row>
    <row r="921" spans="1:19" x14ac:dyDescent="0.3">
      <c r="A921">
        <v>920</v>
      </c>
      <c r="B921" s="5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 s="4">
        <v>0.18179999999999999</v>
      </c>
      <c r="L921" s="3">
        <v>0.31</v>
      </c>
      <c r="M921" s="3">
        <v>8.9599999999999999E-2</v>
      </c>
      <c r="N921" s="3">
        <v>4</v>
      </c>
      <c r="O921" s="3">
        <v>93</v>
      </c>
      <c r="P921" s="3">
        <v>97</v>
      </c>
      <c r="Q921" s="2" t="s">
        <v>2</v>
      </c>
      <c r="R921" s="2" t="s">
        <v>1</v>
      </c>
      <c r="S921" s="2" t="s">
        <v>0</v>
      </c>
    </row>
    <row r="922" spans="1:19" x14ac:dyDescent="0.3">
      <c r="A922">
        <v>921</v>
      </c>
      <c r="B922" s="5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 s="4">
        <v>0.21210000000000001</v>
      </c>
      <c r="L922" s="3">
        <v>0.39</v>
      </c>
      <c r="M922" s="3">
        <v>0</v>
      </c>
      <c r="N922" s="3">
        <v>2</v>
      </c>
      <c r="O922" s="3">
        <v>70</v>
      </c>
      <c r="P922" s="3">
        <v>72</v>
      </c>
      <c r="Q922" s="2" t="s">
        <v>2</v>
      </c>
      <c r="R922" s="2" t="s">
        <v>1</v>
      </c>
      <c r="S922" s="2" t="s">
        <v>0</v>
      </c>
    </row>
    <row r="923" spans="1:19" x14ac:dyDescent="0.3">
      <c r="A923">
        <v>922</v>
      </c>
      <c r="B923" s="5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 s="4">
        <v>0.19700000000000001</v>
      </c>
      <c r="L923" s="3">
        <v>0.39</v>
      </c>
      <c r="M923" s="3">
        <v>0</v>
      </c>
      <c r="N923" s="3">
        <v>4</v>
      </c>
      <c r="O923" s="3">
        <v>47</v>
      </c>
      <c r="P923" s="3">
        <v>51</v>
      </c>
      <c r="Q923" s="2" t="s">
        <v>2</v>
      </c>
      <c r="R923" s="2" t="s">
        <v>1</v>
      </c>
      <c r="S923" s="2" t="s">
        <v>0</v>
      </c>
    </row>
    <row r="924" spans="1:19" x14ac:dyDescent="0.3">
      <c r="A924">
        <v>923</v>
      </c>
      <c r="B924" s="5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 s="4">
        <v>0.1515</v>
      </c>
      <c r="L924" s="3">
        <v>0.42</v>
      </c>
      <c r="M924" s="3">
        <v>0.1045</v>
      </c>
      <c r="N924" s="3">
        <v>1</v>
      </c>
      <c r="O924" s="3">
        <v>33</v>
      </c>
      <c r="P924" s="3">
        <v>34</v>
      </c>
      <c r="Q924" s="2" t="s">
        <v>2</v>
      </c>
      <c r="R924" s="2" t="s">
        <v>1</v>
      </c>
      <c r="S924" s="2" t="s">
        <v>0</v>
      </c>
    </row>
    <row r="925" spans="1:19" x14ac:dyDescent="0.3">
      <c r="A925">
        <v>924</v>
      </c>
      <c r="B925" s="5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 s="4">
        <v>0.13639999999999999</v>
      </c>
      <c r="L925" s="3">
        <v>0.49</v>
      </c>
      <c r="M925" s="3">
        <v>0.1045</v>
      </c>
      <c r="N925" s="3">
        <v>2</v>
      </c>
      <c r="O925" s="3">
        <v>12</v>
      </c>
      <c r="P925" s="3">
        <v>14</v>
      </c>
      <c r="Q925" s="2" t="s">
        <v>2</v>
      </c>
      <c r="R925" s="2" t="s">
        <v>1</v>
      </c>
      <c r="S925" s="2" t="s">
        <v>0</v>
      </c>
    </row>
    <row r="926" spans="1:19" x14ac:dyDescent="0.3">
      <c r="A926">
        <v>925</v>
      </c>
      <c r="B926" s="5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 s="4">
        <v>0.13639999999999999</v>
      </c>
      <c r="L926" s="3">
        <v>0.54</v>
      </c>
      <c r="M926" s="3">
        <v>8.9599999999999999E-2</v>
      </c>
      <c r="N926" s="3">
        <v>1</v>
      </c>
      <c r="O926" s="3">
        <v>6</v>
      </c>
      <c r="P926" s="3">
        <v>7</v>
      </c>
      <c r="Q926" s="2" t="s">
        <v>2</v>
      </c>
      <c r="R926" s="2" t="s">
        <v>1</v>
      </c>
      <c r="S926" s="2" t="s">
        <v>0</v>
      </c>
    </row>
    <row r="927" spans="1:19" x14ac:dyDescent="0.3">
      <c r="A927">
        <v>926</v>
      </c>
      <c r="B927" s="5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 s="4">
        <v>0.13639999999999999</v>
      </c>
      <c r="L927" s="3">
        <v>0.54</v>
      </c>
      <c r="M927" s="3">
        <v>8.9599999999999999E-2</v>
      </c>
      <c r="N927" s="3">
        <v>0</v>
      </c>
      <c r="O927" s="3">
        <v>3</v>
      </c>
      <c r="P927" s="3">
        <v>3</v>
      </c>
      <c r="Q927" s="2" t="s">
        <v>2</v>
      </c>
      <c r="R927" s="2" t="s">
        <v>1</v>
      </c>
      <c r="S927" s="2" t="s">
        <v>0</v>
      </c>
    </row>
    <row r="928" spans="1:19" x14ac:dyDescent="0.3">
      <c r="A928">
        <v>927</v>
      </c>
      <c r="B928" s="5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 s="4">
        <v>0.1212</v>
      </c>
      <c r="L928" s="3">
        <v>0.63</v>
      </c>
      <c r="M928" s="3">
        <v>8.9599999999999999E-2</v>
      </c>
      <c r="N928" s="3">
        <v>0</v>
      </c>
      <c r="O928" s="3">
        <v>4</v>
      </c>
      <c r="P928" s="3">
        <v>4</v>
      </c>
      <c r="Q928" s="2" t="s">
        <v>2</v>
      </c>
      <c r="R928" s="2" t="s">
        <v>1</v>
      </c>
      <c r="S928" s="2" t="s">
        <v>0</v>
      </c>
    </row>
    <row r="929" spans="1:19" x14ac:dyDescent="0.3">
      <c r="A929">
        <v>928</v>
      </c>
      <c r="B929" s="5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 s="4">
        <v>0.18179999999999999</v>
      </c>
      <c r="L929" s="3">
        <v>0.68</v>
      </c>
      <c r="M929" s="3">
        <v>0</v>
      </c>
      <c r="N929" s="3">
        <v>1</v>
      </c>
      <c r="O929" s="3">
        <v>23</v>
      </c>
      <c r="P929" s="3">
        <v>24</v>
      </c>
      <c r="Q929" s="2" t="s">
        <v>2</v>
      </c>
      <c r="R929" s="2" t="s">
        <v>1</v>
      </c>
      <c r="S929" s="2" t="s">
        <v>0</v>
      </c>
    </row>
    <row r="930" spans="1:19" x14ac:dyDescent="0.3">
      <c r="A930">
        <v>929</v>
      </c>
      <c r="B930" s="5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 s="4">
        <v>0.16669999999999999</v>
      </c>
      <c r="L930" s="3">
        <v>0.73</v>
      </c>
      <c r="M930" s="3">
        <v>0</v>
      </c>
      <c r="N930" s="3">
        <v>1</v>
      </c>
      <c r="O930" s="3">
        <v>73</v>
      </c>
      <c r="P930" s="3">
        <v>74</v>
      </c>
      <c r="Q930" s="2" t="s">
        <v>2</v>
      </c>
      <c r="R930" s="2" t="s">
        <v>1</v>
      </c>
      <c r="S930" s="2" t="s">
        <v>0</v>
      </c>
    </row>
    <row r="931" spans="1:19" x14ac:dyDescent="0.3">
      <c r="A931">
        <v>930</v>
      </c>
      <c r="B931" s="5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 s="4">
        <v>0.1212</v>
      </c>
      <c r="L931" s="3">
        <v>0.74</v>
      </c>
      <c r="M931" s="3">
        <v>0.16420000000000001</v>
      </c>
      <c r="N931" s="3">
        <v>4</v>
      </c>
      <c r="O931" s="3">
        <v>212</v>
      </c>
      <c r="P931" s="3">
        <v>216</v>
      </c>
      <c r="Q931" s="2" t="s">
        <v>2</v>
      </c>
      <c r="R931" s="2" t="s">
        <v>1</v>
      </c>
      <c r="S931" s="2" t="s">
        <v>0</v>
      </c>
    </row>
    <row r="932" spans="1:19" x14ac:dyDescent="0.3">
      <c r="A932">
        <v>931</v>
      </c>
      <c r="B932" s="5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 s="4">
        <v>0.1212</v>
      </c>
      <c r="L932" s="3">
        <v>0.74</v>
      </c>
      <c r="M932" s="3">
        <v>0.22389999999999999</v>
      </c>
      <c r="N932" s="3">
        <v>8</v>
      </c>
      <c r="O932" s="3">
        <v>132</v>
      </c>
      <c r="P932" s="3">
        <v>140</v>
      </c>
      <c r="Q932" s="2" t="s">
        <v>2</v>
      </c>
      <c r="R932" s="2" t="s">
        <v>1</v>
      </c>
      <c r="S932" s="2" t="s">
        <v>0</v>
      </c>
    </row>
    <row r="933" spans="1:19" x14ac:dyDescent="0.3">
      <c r="A933">
        <v>932</v>
      </c>
      <c r="B933" s="5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 s="4">
        <v>0.13639999999999999</v>
      </c>
      <c r="L933" s="3">
        <v>0.69</v>
      </c>
      <c r="M933" s="3">
        <v>0.19400000000000001</v>
      </c>
      <c r="N933" s="3">
        <v>5</v>
      </c>
      <c r="O933" s="3">
        <v>39</v>
      </c>
      <c r="P933" s="3">
        <v>44</v>
      </c>
      <c r="Q933" s="2" t="s">
        <v>2</v>
      </c>
      <c r="R933" s="2" t="s">
        <v>1</v>
      </c>
      <c r="S933" s="2" t="s">
        <v>0</v>
      </c>
    </row>
    <row r="934" spans="1:19" x14ac:dyDescent="0.3">
      <c r="A934">
        <v>933</v>
      </c>
      <c r="B934" s="5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 s="4">
        <v>0.2273</v>
      </c>
      <c r="L934" s="3">
        <v>0.47</v>
      </c>
      <c r="M934" s="3">
        <v>0.1343</v>
      </c>
      <c r="N934" s="3">
        <v>12</v>
      </c>
      <c r="O934" s="3">
        <v>52</v>
      </c>
      <c r="P934" s="3">
        <v>64</v>
      </c>
      <c r="Q934" s="2" t="s">
        <v>2</v>
      </c>
      <c r="R934" s="2" t="s">
        <v>1</v>
      </c>
      <c r="S934" s="2" t="s">
        <v>0</v>
      </c>
    </row>
    <row r="935" spans="1:19" x14ac:dyDescent="0.3">
      <c r="A935">
        <v>934</v>
      </c>
      <c r="B935" s="5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 s="4">
        <v>0.2273</v>
      </c>
      <c r="L935" s="3">
        <v>0.47</v>
      </c>
      <c r="M935" s="3">
        <v>0.1343</v>
      </c>
      <c r="N935" s="3">
        <v>7</v>
      </c>
      <c r="O935" s="3">
        <v>64</v>
      </c>
      <c r="P935" s="3">
        <v>71</v>
      </c>
      <c r="Q935" s="2" t="s">
        <v>2</v>
      </c>
      <c r="R935" s="2" t="s">
        <v>1</v>
      </c>
      <c r="S935" s="2" t="s">
        <v>0</v>
      </c>
    </row>
    <row r="936" spans="1:19" x14ac:dyDescent="0.3">
      <c r="A936">
        <v>935</v>
      </c>
      <c r="B936" s="5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 s="4">
        <v>0.2273</v>
      </c>
      <c r="L936" s="3">
        <v>0.35</v>
      </c>
      <c r="M936" s="3">
        <v>0.19400000000000001</v>
      </c>
      <c r="N936" s="3">
        <v>21</v>
      </c>
      <c r="O936" s="3">
        <v>89</v>
      </c>
      <c r="P936" s="3">
        <v>110</v>
      </c>
      <c r="Q936" s="2" t="s">
        <v>2</v>
      </c>
      <c r="R936" s="2" t="s">
        <v>1</v>
      </c>
      <c r="S936" s="2" t="s">
        <v>0</v>
      </c>
    </row>
    <row r="937" spans="1:19" x14ac:dyDescent="0.3">
      <c r="A937">
        <v>936</v>
      </c>
      <c r="B937" s="5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 s="4">
        <v>0.28789999999999999</v>
      </c>
      <c r="L937" s="3">
        <v>0.26</v>
      </c>
      <c r="M937" s="3">
        <v>0.25369999999999998</v>
      </c>
      <c r="N937" s="3">
        <v>17</v>
      </c>
      <c r="O937" s="3">
        <v>67</v>
      </c>
      <c r="P937" s="3">
        <v>84</v>
      </c>
      <c r="Q937" s="2" t="s">
        <v>2</v>
      </c>
      <c r="R937" s="2" t="s">
        <v>1</v>
      </c>
      <c r="S937" s="2" t="s">
        <v>0</v>
      </c>
    </row>
    <row r="938" spans="1:19" x14ac:dyDescent="0.3">
      <c r="A938">
        <v>937</v>
      </c>
      <c r="B938" s="5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 s="4">
        <v>0.31819999999999998</v>
      </c>
      <c r="L938" s="3">
        <v>0.21</v>
      </c>
      <c r="M938" s="3">
        <v>0.16420000000000001</v>
      </c>
      <c r="N938" s="3">
        <v>12</v>
      </c>
      <c r="O938" s="3">
        <v>62</v>
      </c>
      <c r="P938" s="3">
        <v>74</v>
      </c>
      <c r="Q938" s="2" t="s">
        <v>2</v>
      </c>
      <c r="R938" s="2" t="s">
        <v>1</v>
      </c>
      <c r="S938" s="2" t="s">
        <v>0</v>
      </c>
    </row>
    <row r="939" spans="1:19" x14ac:dyDescent="0.3">
      <c r="A939">
        <v>938</v>
      </c>
      <c r="B939" s="5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 s="4">
        <v>0.28789999999999999</v>
      </c>
      <c r="L939" s="3">
        <v>0.28000000000000003</v>
      </c>
      <c r="M939" s="3">
        <v>0.19400000000000001</v>
      </c>
      <c r="N939" s="3">
        <v>14</v>
      </c>
      <c r="O939" s="3">
        <v>111</v>
      </c>
      <c r="P939" s="3">
        <v>125</v>
      </c>
      <c r="Q939" s="2" t="s">
        <v>2</v>
      </c>
      <c r="R939" s="2" t="s">
        <v>1</v>
      </c>
      <c r="S939" s="2" t="s">
        <v>0</v>
      </c>
    </row>
    <row r="940" spans="1:19" x14ac:dyDescent="0.3">
      <c r="A940">
        <v>939</v>
      </c>
      <c r="B940" s="5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 s="4">
        <v>0.33329999999999999</v>
      </c>
      <c r="L940" s="3">
        <v>0.24</v>
      </c>
      <c r="M940" s="3">
        <v>0</v>
      </c>
      <c r="N940" s="3">
        <v>18</v>
      </c>
      <c r="O940" s="3">
        <v>193</v>
      </c>
      <c r="P940" s="3">
        <v>211</v>
      </c>
      <c r="Q940" s="2" t="s">
        <v>2</v>
      </c>
      <c r="R940" s="2" t="s">
        <v>1</v>
      </c>
      <c r="S940" s="2" t="s">
        <v>0</v>
      </c>
    </row>
    <row r="941" spans="1:19" x14ac:dyDescent="0.3">
      <c r="A941">
        <v>940</v>
      </c>
      <c r="B941" s="5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 s="4">
        <v>0.31819999999999998</v>
      </c>
      <c r="L941" s="3">
        <v>0.28000000000000003</v>
      </c>
      <c r="M941" s="3">
        <v>0</v>
      </c>
      <c r="N941" s="3">
        <v>9</v>
      </c>
      <c r="O941" s="3">
        <v>165</v>
      </c>
      <c r="P941" s="3">
        <v>174</v>
      </c>
      <c r="Q941" s="2" t="s">
        <v>2</v>
      </c>
      <c r="R941" s="2" t="s">
        <v>1</v>
      </c>
      <c r="S941" s="2" t="s">
        <v>0</v>
      </c>
    </row>
    <row r="942" spans="1:19" x14ac:dyDescent="0.3">
      <c r="A942">
        <v>941</v>
      </c>
      <c r="B942" s="5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 s="4">
        <v>0.30299999999999999</v>
      </c>
      <c r="L942" s="3">
        <v>0.33</v>
      </c>
      <c r="M942" s="3">
        <v>0</v>
      </c>
      <c r="N942" s="3">
        <v>7</v>
      </c>
      <c r="O942" s="3">
        <v>94</v>
      </c>
      <c r="P942" s="3">
        <v>101</v>
      </c>
      <c r="Q942" s="2" t="s">
        <v>2</v>
      </c>
      <c r="R942" s="2" t="s">
        <v>1</v>
      </c>
      <c r="S942" s="2" t="s">
        <v>0</v>
      </c>
    </row>
    <row r="943" spans="1:19" x14ac:dyDescent="0.3">
      <c r="A943">
        <v>942</v>
      </c>
      <c r="B943" s="5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 s="4">
        <v>0.2273</v>
      </c>
      <c r="L943" s="3">
        <v>0.55000000000000004</v>
      </c>
      <c r="M943" s="3">
        <v>0.1343</v>
      </c>
      <c r="N943" s="3">
        <v>2</v>
      </c>
      <c r="O943" s="3">
        <v>61</v>
      </c>
      <c r="P943" s="3">
        <v>63</v>
      </c>
      <c r="Q943" s="2" t="s">
        <v>2</v>
      </c>
      <c r="R943" s="2" t="s">
        <v>1</v>
      </c>
      <c r="S943" s="2" t="s">
        <v>0</v>
      </c>
    </row>
    <row r="944" spans="1:19" x14ac:dyDescent="0.3">
      <c r="A944">
        <v>943</v>
      </c>
      <c r="B944" s="5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 s="4">
        <v>0.21210000000000001</v>
      </c>
      <c r="L944" s="3">
        <v>0.59</v>
      </c>
      <c r="M944" s="3">
        <v>0.1343</v>
      </c>
      <c r="N944" s="3">
        <v>1</v>
      </c>
      <c r="O944" s="3">
        <v>46</v>
      </c>
      <c r="P944" s="3">
        <v>47</v>
      </c>
      <c r="Q944" s="2" t="s">
        <v>2</v>
      </c>
      <c r="R944" s="2" t="s">
        <v>1</v>
      </c>
      <c r="S944" s="2" t="s">
        <v>0</v>
      </c>
    </row>
    <row r="945" spans="1:19" x14ac:dyDescent="0.3">
      <c r="A945">
        <v>944</v>
      </c>
      <c r="B945" s="5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 s="4">
        <v>0.2273</v>
      </c>
      <c r="L945" s="3">
        <v>0.64</v>
      </c>
      <c r="M945" s="3">
        <v>8.9599999999999999E-2</v>
      </c>
      <c r="N945" s="3">
        <v>2</v>
      </c>
      <c r="O945" s="3">
        <v>41</v>
      </c>
      <c r="P945" s="3">
        <v>43</v>
      </c>
      <c r="Q945" s="2" t="s">
        <v>2</v>
      </c>
      <c r="R945" s="2" t="s">
        <v>1</v>
      </c>
      <c r="S945" s="2" t="s">
        <v>0</v>
      </c>
    </row>
    <row r="946" spans="1:19" x14ac:dyDescent="0.3">
      <c r="A946">
        <v>945</v>
      </c>
      <c r="B946" s="5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 s="4">
        <v>0.2424</v>
      </c>
      <c r="L946" s="3">
        <v>0.69</v>
      </c>
      <c r="M946" s="3">
        <v>0</v>
      </c>
      <c r="N946" s="3">
        <v>5</v>
      </c>
      <c r="O946" s="3">
        <v>48</v>
      </c>
      <c r="P946" s="3">
        <v>53</v>
      </c>
      <c r="Q946" s="2" t="s">
        <v>2</v>
      </c>
      <c r="R946" s="2" t="s">
        <v>1</v>
      </c>
      <c r="S946" s="2" t="s">
        <v>0</v>
      </c>
    </row>
    <row r="947" spans="1:19" x14ac:dyDescent="0.3">
      <c r="A947">
        <v>946</v>
      </c>
      <c r="B947" s="5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 s="4">
        <v>0.19700000000000001</v>
      </c>
      <c r="L947" s="3">
        <v>0.69</v>
      </c>
      <c r="M947" s="3">
        <v>8.9599999999999999E-2</v>
      </c>
      <c r="N947" s="3">
        <v>3</v>
      </c>
      <c r="O947" s="3">
        <v>27</v>
      </c>
      <c r="P947" s="3">
        <v>30</v>
      </c>
      <c r="Q947" s="2" t="s">
        <v>2</v>
      </c>
      <c r="R947" s="2" t="s">
        <v>1</v>
      </c>
      <c r="S947" s="2" t="s">
        <v>0</v>
      </c>
    </row>
    <row r="948" spans="1:19" x14ac:dyDescent="0.3">
      <c r="A948">
        <v>947</v>
      </c>
      <c r="B948" s="5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 s="4">
        <v>0.21210000000000001</v>
      </c>
      <c r="L948" s="3">
        <v>0.86</v>
      </c>
      <c r="M948" s="3">
        <v>0</v>
      </c>
      <c r="N948" s="3">
        <v>2</v>
      </c>
      <c r="O948" s="3">
        <v>22</v>
      </c>
      <c r="P948" s="3">
        <v>24</v>
      </c>
      <c r="Q948" s="2" t="s">
        <v>2</v>
      </c>
      <c r="R948" s="2" t="s">
        <v>1</v>
      </c>
      <c r="S948" s="2" t="s">
        <v>0</v>
      </c>
    </row>
    <row r="949" spans="1:19" x14ac:dyDescent="0.3">
      <c r="A949">
        <v>948</v>
      </c>
      <c r="B949" s="5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 s="4">
        <v>0.21210000000000001</v>
      </c>
      <c r="L949" s="3">
        <v>0.8</v>
      </c>
      <c r="M949" s="3">
        <v>0</v>
      </c>
      <c r="N949" s="3">
        <v>2</v>
      </c>
      <c r="O949" s="3">
        <v>13</v>
      </c>
      <c r="P949" s="3">
        <v>15</v>
      </c>
      <c r="Q949" s="2" t="s">
        <v>2</v>
      </c>
      <c r="R949" s="2" t="s">
        <v>1</v>
      </c>
      <c r="S949" s="2" t="s">
        <v>0</v>
      </c>
    </row>
    <row r="950" spans="1:19" x14ac:dyDescent="0.3">
      <c r="A950">
        <v>949</v>
      </c>
      <c r="B950" s="5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 s="4">
        <v>0.19700000000000001</v>
      </c>
      <c r="L950" s="3">
        <v>0.8</v>
      </c>
      <c r="M950" s="3">
        <v>0</v>
      </c>
      <c r="N950" s="3">
        <v>3</v>
      </c>
      <c r="O950" s="3">
        <v>7</v>
      </c>
      <c r="P950" s="3">
        <v>10</v>
      </c>
      <c r="Q950" s="2" t="s">
        <v>2</v>
      </c>
      <c r="R950" s="2" t="s">
        <v>1</v>
      </c>
      <c r="S950" s="2" t="s">
        <v>0</v>
      </c>
    </row>
    <row r="951" spans="1:19" x14ac:dyDescent="0.3">
      <c r="A951">
        <v>950</v>
      </c>
      <c r="B951" s="5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 s="4">
        <v>0.16669999999999999</v>
      </c>
      <c r="L951" s="3">
        <v>0.74</v>
      </c>
      <c r="M951" s="3">
        <v>8.9599999999999999E-2</v>
      </c>
      <c r="N951" s="3">
        <v>0</v>
      </c>
      <c r="O951" s="3">
        <v>4</v>
      </c>
      <c r="P951" s="3">
        <v>4</v>
      </c>
      <c r="Q951" s="2" t="s">
        <v>2</v>
      </c>
      <c r="R951" s="2" t="s">
        <v>1</v>
      </c>
      <c r="S951" s="2" t="s">
        <v>0</v>
      </c>
    </row>
    <row r="952" spans="1:19" x14ac:dyDescent="0.3">
      <c r="A952">
        <v>951</v>
      </c>
      <c r="B952" s="5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 s="4">
        <v>0.16669999999999999</v>
      </c>
      <c r="L952" s="3">
        <v>0.74</v>
      </c>
      <c r="M952" s="3">
        <v>8.9599999999999999E-2</v>
      </c>
      <c r="N952" s="3">
        <v>0</v>
      </c>
      <c r="O952" s="3">
        <v>1</v>
      </c>
      <c r="P952" s="3">
        <v>1</v>
      </c>
      <c r="Q952" s="2" t="s">
        <v>2</v>
      </c>
      <c r="R952" s="2" t="s">
        <v>1</v>
      </c>
      <c r="S952" s="2" t="s">
        <v>0</v>
      </c>
    </row>
    <row r="953" spans="1:19" x14ac:dyDescent="0.3">
      <c r="A953">
        <v>952</v>
      </c>
      <c r="B953" s="5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 s="4">
        <v>0.13639999999999999</v>
      </c>
      <c r="L953" s="3">
        <v>0.93</v>
      </c>
      <c r="M953" s="3">
        <v>0.19400000000000001</v>
      </c>
      <c r="N953" s="3">
        <v>1</v>
      </c>
      <c r="O953" s="3">
        <v>1</v>
      </c>
      <c r="P953" s="3">
        <v>2</v>
      </c>
      <c r="Q953" s="2" t="s">
        <v>2</v>
      </c>
      <c r="R953" s="2" t="s">
        <v>1</v>
      </c>
      <c r="S953" s="2" t="s">
        <v>0</v>
      </c>
    </row>
    <row r="954" spans="1:19" x14ac:dyDescent="0.3">
      <c r="A954">
        <v>953</v>
      </c>
      <c r="B954" s="5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 s="4">
        <v>0.1515</v>
      </c>
      <c r="L954" s="3">
        <v>0.8</v>
      </c>
      <c r="M954" s="3">
        <v>0.1045</v>
      </c>
      <c r="N954" s="3">
        <v>2</v>
      </c>
      <c r="O954" s="3">
        <v>9</v>
      </c>
      <c r="P954" s="3">
        <v>11</v>
      </c>
      <c r="Q954" s="2" t="s">
        <v>2</v>
      </c>
      <c r="R954" s="2" t="s">
        <v>1</v>
      </c>
      <c r="S954" s="2" t="s">
        <v>0</v>
      </c>
    </row>
    <row r="955" spans="1:19" x14ac:dyDescent="0.3">
      <c r="A955">
        <v>954</v>
      </c>
      <c r="B955" s="5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 s="4">
        <v>0.1515</v>
      </c>
      <c r="L955" s="3">
        <v>0.86</v>
      </c>
      <c r="M955" s="3">
        <v>0.1343</v>
      </c>
      <c r="N955" s="3">
        <v>2</v>
      </c>
      <c r="O955" s="3">
        <v>28</v>
      </c>
      <c r="P955" s="3">
        <v>30</v>
      </c>
      <c r="Q955" s="2" t="s">
        <v>2</v>
      </c>
      <c r="R955" s="2" t="s">
        <v>1</v>
      </c>
      <c r="S955" s="2" t="s">
        <v>0</v>
      </c>
    </row>
    <row r="956" spans="1:19" x14ac:dyDescent="0.3">
      <c r="A956">
        <v>955</v>
      </c>
      <c r="B956" s="5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 s="4">
        <v>0.18179999999999999</v>
      </c>
      <c r="L956" s="3">
        <v>0.64</v>
      </c>
      <c r="M956" s="3">
        <v>0.1343</v>
      </c>
      <c r="N956" s="3">
        <v>5</v>
      </c>
      <c r="O956" s="3">
        <v>38</v>
      </c>
      <c r="P956" s="3">
        <v>43</v>
      </c>
      <c r="Q956" s="2" t="s">
        <v>2</v>
      </c>
      <c r="R956" s="2" t="s">
        <v>1</v>
      </c>
      <c r="S956" s="2" t="s">
        <v>0</v>
      </c>
    </row>
    <row r="957" spans="1:19" x14ac:dyDescent="0.3">
      <c r="A957">
        <v>956</v>
      </c>
      <c r="B957" s="5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 s="4">
        <v>0.21210000000000001</v>
      </c>
      <c r="L957" s="3">
        <v>0.41</v>
      </c>
      <c r="M957" s="3">
        <v>0.25369999999999998</v>
      </c>
      <c r="N957" s="3">
        <v>13</v>
      </c>
      <c r="O957" s="3">
        <v>71</v>
      </c>
      <c r="P957" s="3">
        <v>84</v>
      </c>
      <c r="Q957" s="2" t="s">
        <v>2</v>
      </c>
      <c r="R957" s="2" t="s">
        <v>1</v>
      </c>
      <c r="S957" s="2" t="s">
        <v>0</v>
      </c>
    </row>
    <row r="958" spans="1:19" x14ac:dyDescent="0.3">
      <c r="A958">
        <v>957</v>
      </c>
      <c r="B958" s="5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 s="4">
        <v>0.2727</v>
      </c>
      <c r="L958" s="3">
        <v>0.28000000000000003</v>
      </c>
      <c r="M958" s="3">
        <v>0.32840000000000003</v>
      </c>
      <c r="N958" s="3">
        <v>30</v>
      </c>
      <c r="O958" s="3">
        <v>84</v>
      </c>
      <c r="P958" s="3">
        <v>114</v>
      </c>
      <c r="Q958" s="2" t="s">
        <v>2</v>
      </c>
      <c r="R958" s="2" t="s">
        <v>1</v>
      </c>
      <c r="S958" s="2" t="s">
        <v>0</v>
      </c>
    </row>
    <row r="959" spans="1:19" x14ac:dyDescent="0.3">
      <c r="A959">
        <v>958</v>
      </c>
      <c r="B959" s="5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 s="4">
        <v>0.2727</v>
      </c>
      <c r="L959" s="3">
        <v>0.39</v>
      </c>
      <c r="M959" s="3">
        <v>0.4627</v>
      </c>
      <c r="N959" s="3">
        <v>27</v>
      </c>
      <c r="O959" s="3">
        <v>93</v>
      </c>
      <c r="P959" s="3">
        <v>120</v>
      </c>
      <c r="Q959" s="2" t="s">
        <v>2</v>
      </c>
      <c r="R959" s="2" t="s">
        <v>1</v>
      </c>
      <c r="S959" s="2" t="s">
        <v>0</v>
      </c>
    </row>
    <row r="960" spans="1:19" x14ac:dyDescent="0.3">
      <c r="A960">
        <v>959</v>
      </c>
      <c r="B960" s="5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 s="4">
        <v>0.2727</v>
      </c>
      <c r="L960" s="3">
        <v>0.39</v>
      </c>
      <c r="M960" s="3">
        <v>0.41789999999999999</v>
      </c>
      <c r="N960" s="3">
        <v>32</v>
      </c>
      <c r="O960" s="3">
        <v>103</v>
      </c>
      <c r="P960" s="3">
        <v>135</v>
      </c>
      <c r="Q960" s="2" t="s">
        <v>2</v>
      </c>
      <c r="R960" s="2" t="s">
        <v>1</v>
      </c>
      <c r="S960" s="2" t="s">
        <v>0</v>
      </c>
    </row>
    <row r="961" spans="1:19" x14ac:dyDescent="0.3">
      <c r="A961">
        <v>960</v>
      </c>
      <c r="B961" s="5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 s="4">
        <v>0.31819999999999998</v>
      </c>
      <c r="L961" s="3">
        <v>0.31</v>
      </c>
      <c r="M961" s="3">
        <v>0.28360000000000002</v>
      </c>
      <c r="N961" s="3">
        <v>30</v>
      </c>
      <c r="O961" s="3">
        <v>90</v>
      </c>
      <c r="P961" s="3">
        <v>120</v>
      </c>
      <c r="Q961" s="2" t="s">
        <v>2</v>
      </c>
      <c r="R961" s="2" t="s">
        <v>1</v>
      </c>
      <c r="S961" s="2" t="s">
        <v>0</v>
      </c>
    </row>
    <row r="962" spans="1:19" x14ac:dyDescent="0.3">
      <c r="A962">
        <v>961</v>
      </c>
      <c r="B962" s="5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 s="4">
        <v>0.30299999999999999</v>
      </c>
      <c r="L962" s="3">
        <v>0.28999999999999998</v>
      </c>
      <c r="M962" s="3">
        <v>0.41789999999999999</v>
      </c>
      <c r="N962" s="3">
        <v>47</v>
      </c>
      <c r="O962" s="3">
        <v>127</v>
      </c>
      <c r="P962" s="3">
        <v>174</v>
      </c>
      <c r="Q962" s="2" t="s">
        <v>2</v>
      </c>
      <c r="R962" s="2" t="s">
        <v>1</v>
      </c>
      <c r="S962" s="2" t="s">
        <v>0</v>
      </c>
    </row>
    <row r="963" spans="1:19" x14ac:dyDescent="0.3">
      <c r="A963">
        <v>962</v>
      </c>
      <c r="B963" s="5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 s="4">
        <v>0.30299999999999999</v>
      </c>
      <c r="L963" s="3">
        <v>0.28999999999999998</v>
      </c>
      <c r="M963" s="3">
        <v>0.41789999999999999</v>
      </c>
      <c r="N963" s="3">
        <v>42</v>
      </c>
      <c r="O963" s="3">
        <v>103</v>
      </c>
      <c r="P963" s="3">
        <v>145</v>
      </c>
      <c r="Q963" s="2" t="s">
        <v>2</v>
      </c>
      <c r="R963" s="2" t="s">
        <v>1</v>
      </c>
      <c r="S963" s="2" t="s">
        <v>0</v>
      </c>
    </row>
    <row r="964" spans="1:19" x14ac:dyDescent="0.3">
      <c r="A964">
        <v>963</v>
      </c>
      <c r="B964" s="5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 s="4">
        <v>0.28789999999999999</v>
      </c>
      <c r="L964" s="3">
        <v>0.31</v>
      </c>
      <c r="M964" s="3">
        <v>0.52239999999999998</v>
      </c>
      <c r="N964" s="3">
        <v>24</v>
      </c>
      <c r="O964" s="3">
        <v>113</v>
      </c>
      <c r="P964" s="3">
        <v>137</v>
      </c>
      <c r="Q964" s="2" t="s">
        <v>2</v>
      </c>
      <c r="R964" s="2" t="s">
        <v>1</v>
      </c>
      <c r="S964" s="2" t="s">
        <v>0</v>
      </c>
    </row>
    <row r="965" spans="1:19" x14ac:dyDescent="0.3">
      <c r="A965">
        <v>964</v>
      </c>
      <c r="B965" s="5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 s="4">
        <v>0.2576</v>
      </c>
      <c r="L965" s="3">
        <v>0.38</v>
      </c>
      <c r="M965" s="3">
        <v>0.32840000000000003</v>
      </c>
      <c r="N965" s="3">
        <v>4</v>
      </c>
      <c r="O965" s="3">
        <v>60</v>
      </c>
      <c r="P965" s="3">
        <v>64</v>
      </c>
      <c r="Q965" s="2" t="s">
        <v>2</v>
      </c>
      <c r="R965" s="2" t="s">
        <v>1</v>
      </c>
      <c r="S965" s="2" t="s">
        <v>0</v>
      </c>
    </row>
    <row r="966" spans="1:19" x14ac:dyDescent="0.3">
      <c r="A966">
        <v>965</v>
      </c>
      <c r="B966" s="5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 s="4">
        <v>0.2727</v>
      </c>
      <c r="L966" s="3">
        <v>0.38</v>
      </c>
      <c r="M966" s="3">
        <v>0.16420000000000001</v>
      </c>
      <c r="N966" s="3">
        <v>2</v>
      </c>
      <c r="O966" s="3">
        <v>39</v>
      </c>
      <c r="P966" s="3">
        <v>41</v>
      </c>
      <c r="Q966" s="2" t="s">
        <v>2</v>
      </c>
      <c r="R966" s="2" t="s">
        <v>1</v>
      </c>
      <c r="S966" s="2" t="s">
        <v>0</v>
      </c>
    </row>
    <row r="967" spans="1:19" x14ac:dyDescent="0.3">
      <c r="A967">
        <v>966</v>
      </c>
      <c r="B967" s="5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 s="4">
        <v>0.2576</v>
      </c>
      <c r="L967" s="3">
        <v>0.41</v>
      </c>
      <c r="M967" s="3">
        <v>0.22389999999999999</v>
      </c>
      <c r="N967" s="3">
        <v>1</v>
      </c>
      <c r="O967" s="3">
        <v>39</v>
      </c>
      <c r="P967" s="3">
        <v>40</v>
      </c>
      <c r="Q967" s="2" t="s">
        <v>2</v>
      </c>
      <c r="R967" s="2" t="s">
        <v>1</v>
      </c>
      <c r="S967" s="2" t="s">
        <v>0</v>
      </c>
    </row>
    <row r="968" spans="1:19" x14ac:dyDescent="0.3">
      <c r="A968">
        <v>967</v>
      </c>
      <c r="B968" s="5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 s="4">
        <v>0.30299999999999999</v>
      </c>
      <c r="L968" s="3">
        <v>0.41</v>
      </c>
      <c r="M968" s="3">
        <v>0</v>
      </c>
      <c r="N968" s="3">
        <v>9</v>
      </c>
      <c r="O968" s="3">
        <v>42</v>
      </c>
      <c r="P968" s="3">
        <v>51</v>
      </c>
      <c r="Q968" s="2" t="s">
        <v>2</v>
      </c>
      <c r="R968" s="2" t="s">
        <v>1</v>
      </c>
      <c r="S968" s="2" t="s">
        <v>0</v>
      </c>
    </row>
    <row r="969" spans="1:19" x14ac:dyDescent="0.3">
      <c r="A969">
        <v>968</v>
      </c>
      <c r="B969" s="5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 s="4">
        <v>0.2576</v>
      </c>
      <c r="L969" s="3">
        <v>0.44</v>
      </c>
      <c r="M969" s="3">
        <v>8.9599999999999999E-2</v>
      </c>
      <c r="N969" s="3">
        <v>6</v>
      </c>
      <c r="O969" s="3">
        <v>39</v>
      </c>
      <c r="P969" s="3">
        <v>45</v>
      </c>
      <c r="Q969" s="2" t="s">
        <v>2</v>
      </c>
      <c r="R969" s="2" t="s">
        <v>1</v>
      </c>
      <c r="S969" s="2" t="s">
        <v>0</v>
      </c>
    </row>
    <row r="970" spans="1:19" x14ac:dyDescent="0.3">
      <c r="A970">
        <v>969</v>
      </c>
      <c r="B970" s="5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 s="4">
        <v>0.2273</v>
      </c>
      <c r="L970" s="3">
        <v>0.51</v>
      </c>
      <c r="M970" s="3">
        <v>0.1343</v>
      </c>
      <c r="N970" s="3">
        <v>1</v>
      </c>
      <c r="O970" s="3">
        <v>31</v>
      </c>
      <c r="P970" s="3">
        <v>32</v>
      </c>
      <c r="Q970" s="2" t="s">
        <v>2</v>
      </c>
      <c r="R970" s="2" t="s">
        <v>1</v>
      </c>
      <c r="S970" s="2" t="s">
        <v>0</v>
      </c>
    </row>
    <row r="971" spans="1:19" x14ac:dyDescent="0.3">
      <c r="A971">
        <v>970</v>
      </c>
      <c r="B971" s="5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 s="4">
        <v>0.2273</v>
      </c>
      <c r="L971" s="3">
        <v>0.64</v>
      </c>
      <c r="M971" s="3">
        <v>0.1045</v>
      </c>
      <c r="N971" s="3">
        <v>5</v>
      </c>
      <c r="O971" s="3">
        <v>34</v>
      </c>
      <c r="P971" s="3">
        <v>39</v>
      </c>
      <c r="Q971" s="2" t="s">
        <v>2</v>
      </c>
      <c r="R971" s="2" t="s">
        <v>1</v>
      </c>
      <c r="S971" s="2" t="s">
        <v>0</v>
      </c>
    </row>
    <row r="972" spans="1:19" x14ac:dyDescent="0.3">
      <c r="A972">
        <v>971</v>
      </c>
      <c r="B972" s="5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 s="4">
        <v>0.2273</v>
      </c>
      <c r="L972" s="3">
        <v>0.59</v>
      </c>
      <c r="M972" s="3">
        <v>8.9599999999999999E-2</v>
      </c>
      <c r="N972" s="3">
        <v>1</v>
      </c>
      <c r="O972" s="3">
        <v>23</v>
      </c>
      <c r="P972" s="3">
        <v>24</v>
      </c>
      <c r="Q972" s="2" t="s">
        <v>2</v>
      </c>
      <c r="R972" s="2" t="s">
        <v>1</v>
      </c>
      <c r="S972" s="2" t="s">
        <v>0</v>
      </c>
    </row>
    <row r="973" spans="1:19" x14ac:dyDescent="0.3">
      <c r="A973">
        <v>972</v>
      </c>
      <c r="B973" s="5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 s="4">
        <v>0.2273</v>
      </c>
      <c r="L973" s="3">
        <v>0.75</v>
      </c>
      <c r="M973" s="3">
        <v>0.75</v>
      </c>
      <c r="N973" s="3">
        <v>1</v>
      </c>
      <c r="O973" s="3">
        <v>19</v>
      </c>
      <c r="P973" s="3">
        <v>20</v>
      </c>
      <c r="Q973" s="2" t="s">
        <v>2</v>
      </c>
      <c r="R973" s="2" t="s">
        <v>3</v>
      </c>
      <c r="S973" s="2" t="s">
        <v>0</v>
      </c>
    </row>
    <row r="974" spans="1:19" x14ac:dyDescent="0.3">
      <c r="A974">
        <v>973</v>
      </c>
      <c r="B974" s="5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 s="4">
        <v>0.2273</v>
      </c>
      <c r="L974" s="3">
        <v>0.69</v>
      </c>
      <c r="M974" s="3">
        <v>0.1045</v>
      </c>
      <c r="N974" s="3">
        <v>4</v>
      </c>
      <c r="O974" s="3">
        <v>8</v>
      </c>
      <c r="P974" s="3">
        <v>12</v>
      </c>
      <c r="Q974" s="2" t="s">
        <v>2</v>
      </c>
      <c r="R974" s="2" t="s">
        <v>3</v>
      </c>
      <c r="S974" s="2" t="s">
        <v>0</v>
      </c>
    </row>
    <row r="975" spans="1:19" x14ac:dyDescent="0.3">
      <c r="A975">
        <v>974</v>
      </c>
      <c r="B975" s="5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 s="4">
        <v>0.21210000000000001</v>
      </c>
      <c r="L975" s="3">
        <v>0.69</v>
      </c>
      <c r="M975" s="3">
        <v>0.16420000000000001</v>
      </c>
      <c r="N975" s="3">
        <v>0</v>
      </c>
      <c r="O975" s="3">
        <v>2</v>
      </c>
      <c r="P975" s="3">
        <v>2</v>
      </c>
      <c r="Q975" s="2" t="s">
        <v>2</v>
      </c>
      <c r="R975" s="2" t="s">
        <v>3</v>
      </c>
      <c r="S975" s="2" t="s">
        <v>0</v>
      </c>
    </row>
    <row r="976" spans="1:19" x14ac:dyDescent="0.3">
      <c r="A976">
        <v>975</v>
      </c>
      <c r="B976" s="5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 s="4">
        <v>0.21210000000000001</v>
      </c>
      <c r="L976" s="3">
        <v>0.69</v>
      </c>
      <c r="M976" s="3">
        <v>0.1343</v>
      </c>
      <c r="N976" s="3">
        <v>2</v>
      </c>
      <c r="O976" s="3">
        <v>3</v>
      </c>
      <c r="P976" s="3">
        <v>5</v>
      </c>
      <c r="Q976" s="2" t="s">
        <v>2</v>
      </c>
      <c r="R976" s="2" t="s">
        <v>3</v>
      </c>
      <c r="S976" s="2" t="s">
        <v>0</v>
      </c>
    </row>
    <row r="977" spans="1:19" x14ac:dyDescent="0.3">
      <c r="A977">
        <v>976</v>
      </c>
      <c r="B977" s="5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 s="4">
        <v>0.2727</v>
      </c>
      <c r="L977" s="3">
        <v>0.55000000000000004</v>
      </c>
      <c r="M977" s="3">
        <v>0</v>
      </c>
      <c r="N977" s="3">
        <v>0</v>
      </c>
      <c r="O977" s="3">
        <v>3</v>
      </c>
      <c r="P977" s="3">
        <v>3</v>
      </c>
      <c r="Q977" s="2" t="s">
        <v>2</v>
      </c>
      <c r="R977" s="2" t="s">
        <v>3</v>
      </c>
      <c r="S977" s="2" t="s">
        <v>0</v>
      </c>
    </row>
    <row r="978" spans="1:19" x14ac:dyDescent="0.3">
      <c r="A978">
        <v>977</v>
      </c>
      <c r="B978" s="5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 s="4">
        <v>0.2273</v>
      </c>
      <c r="L978" s="3">
        <v>0.64</v>
      </c>
      <c r="M978" s="3">
        <v>0.19400000000000001</v>
      </c>
      <c r="N978" s="3">
        <v>1</v>
      </c>
      <c r="O978" s="3">
        <v>11</v>
      </c>
      <c r="P978" s="3">
        <v>12</v>
      </c>
      <c r="Q978" s="2" t="s">
        <v>2</v>
      </c>
      <c r="R978" s="2" t="s">
        <v>3</v>
      </c>
      <c r="S978" s="2" t="s">
        <v>0</v>
      </c>
    </row>
    <row r="979" spans="1:19" x14ac:dyDescent="0.3">
      <c r="A979">
        <v>978</v>
      </c>
      <c r="B979" s="5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 s="4">
        <v>0.2273</v>
      </c>
      <c r="L979" s="3">
        <v>0.6</v>
      </c>
      <c r="M979" s="3">
        <v>0.22389999999999999</v>
      </c>
      <c r="N979" s="3">
        <v>12</v>
      </c>
      <c r="O979" s="3">
        <v>35</v>
      </c>
      <c r="P979" s="3">
        <v>47</v>
      </c>
      <c r="Q979" s="2" t="s">
        <v>2</v>
      </c>
      <c r="R979" s="2" t="s">
        <v>3</v>
      </c>
      <c r="S979" s="2" t="s">
        <v>0</v>
      </c>
    </row>
    <row r="980" spans="1:19" x14ac:dyDescent="0.3">
      <c r="A980">
        <v>979</v>
      </c>
      <c r="B980" s="5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 s="4">
        <v>0.2727</v>
      </c>
      <c r="L980" s="3">
        <v>0.45</v>
      </c>
      <c r="M980" s="3">
        <v>0.32840000000000003</v>
      </c>
      <c r="N980" s="3">
        <v>19</v>
      </c>
      <c r="O980" s="3">
        <v>86</v>
      </c>
      <c r="P980" s="3">
        <v>105</v>
      </c>
      <c r="Q980" s="2" t="s">
        <v>2</v>
      </c>
      <c r="R980" s="2" t="s">
        <v>1</v>
      </c>
      <c r="S980" s="2" t="s">
        <v>0</v>
      </c>
    </row>
    <row r="981" spans="1:19" x14ac:dyDescent="0.3">
      <c r="A981">
        <v>980</v>
      </c>
      <c r="B981" s="5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 s="4">
        <v>0.28789999999999999</v>
      </c>
      <c r="L981" s="3">
        <v>0.39</v>
      </c>
      <c r="M981" s="3">
        <v>0.44779999999999998</v>
      </c>
      <c r="N981" s="3">
        <v>26</v>
      </c>
      <c r="O981" s="3">
        <v>86</v>
      </c>
      <c r="P981" s="3">
        <v>112</v>
      </c>
      <c r="Q981" s="2" t="s">
        <v>2</v>
      </c>
      <c r="R981" s="2" t="s">
        <v>1</v>
      </c>
      <c r="S981" s="2" t="s">
        <v>0</v>
      </c>
    </row>
    <row r="982" spans="1:19" x14ac:dyDescent="0.3">
      <c r="A982">
        <v>981</v>
      </c>
      <c r="B982" s="5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 s="4">
        <v>0.31819999999999998</v>
      </c>
      <c r="L982" s="3">
        <v>0.32</v>
      </c>
      <c r="M982" s="3">
        <v>0.4627</v>
      </c>
      <c r="N982" s="3">
        <v>58</v>
      </c>
      <c r="O982" s="3">
        <v>94</v>
      </c>
      <c r="P982" s="3">
        <v>152</v>
      </c>
      <c r="Q982" s="2" t="s">
        <v>2</v>
      </c>
      <c r="R982" s="2" t="s">
        <v>1</v>
      </c>
      <c r="S982" s="2" t="s">
        <v>0</v>
      </c>
    </row>
    <row r="983" spans="1:19" x14ac:dyDescent="0.3">
      <c r="A983">
        <v>982</v>
      </c>
      <c r="B983" s="5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 s="4">
        <v>0.39389999999999997</v>
      </c>
      <c r="L983" s="3">
        <v>0.28999999999999998</v>
      </c>
      <c r="M983" s="3">
        <v>0.35820000000000002</v>
      </c>
      <c r="N983" s="3">
        <v>62</v>
      </c>
      <c r="O983" s="3">
        <v>92</v>
      </c>
      <c r="P983" s="3">
        <v>154</v>
      </c>
      <c r="Q983" s="2" t="s">
        <v>2</v>
      </c>
      <c r="R983" s="2" t="s">
        <v>1</v>
      </c>
      <c r="S983" s="2" t="s">
        <v>0</v>
      </c>
    </row>
    <row r="984" spans="1:19" x14ac:dyDescent="0.3">
      <c r="A984">
        <v>983</v>
      </c>
      <c r="B984" s="5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 s="4">
        <v>0.40910000000000002</v>
      </c>
      <c r="L984" s="3">
        <v>0.3</v>
      </c>
      <c r="M984" s="3">
        <v>0.41789999999999999</v>
      </c>
      <c r="N984" s="3">
        <v>51</v>
      </c>
      <c r="O984" s="3">
        <v>110</v>
      </c>
      <c r="P984" s="3">
        <v>161</v>
      </c>
      <c r="Q984" s="2" t="s">
        <v>2</v>
      </c>
      <c r="R984" s="2" t="s">
        <v>3</v>
      </c>
      <c r="S984" s="2" t="s">
        <v>0</v>
      </c>
    </row>
    <row r="985" spans="1:19" x14ac:dyDescent="0.3">
      <c r="A985">
        <v>984</v>
      </c>
      <c r="B985" s="5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 s="4">
        <v>0.40910000000000002</v>
      </c>
      <c r="L985" s="3">
        <v>0.3</v>
      </c>
      <c r="M985" s="3">
        <v>0.29849999999999999</v>
      </c>
      <c r="N985" s="3">
        <v>40</v>
      </c>
      <c r="O985" s="3">
        <v>122</v>
      </c>
      <c r="P985" s="3">
        <v>162</v>
      </c>
      <c r="Q985" s="2" t="s">
        <v>2</v>
      </c>
      <c r="R985" s="2" t="s">
        <v>3</v>
      </c>
      <c r="S985" s="2" t="s">
        <v>0</v>
      </c>
    </row>
    <row r="986" spans="1:19" x14ac:dyDescent="0.3">
      <c r="A986">
        <v>985</v>
      </c>
      <c r="B986" s="5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 s="4">
        <v>0.42420000000000002</v>
      </c>
      <c r="L986" s="3">
        <v>0.28000000000000003</v>
      </c>
      <c r="M986" s="3">
        <v>0.32840000000000003</v>
      </c>
      <c r="N986" s="3">
        <v>28</v>
      </c>
      <c r="O986" s="3">
        <v>106</v>
      </c>
      <c r="P986" s="3">
        <v>134</v>
      </c>
      <c r="Q986" s="2" t="s">
        <v>2</v>
      </c>
      <c r="R986" s="2" t="s">
        <v>3</v>
      </c>
      <c r="S986" s="2" t="s">
        <v>0</v>
      </c>
    </row>
    <row r="987" spans="1:19" x14ac:dyDescent="0.3">
      <c r="A987">
        <v>986</v>
      </c>
      <c r="B987" s="5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 s="4">
        <v>0.42420000000000002</v>
      </c>
      <c r="L987" s="3">
        <v>0.28000000000000003</v>
      </c>
      <c r="M987" s="3">
        <v>0.32840000000000003</v>
      </c>
      <c r="N987" s="3">
        <v>30</v>
      </c>
      <c r="O987" s="3">
        <v>95</v>
      </c>
      <c r="P987" s="3">
        <v>125</v>
      </c>
      <c r="Q987" s="2" t="s">
        <v>2</v>
      </c>
      <c r="R987" s="2" t="s">
        <v>1</v>
      </c>
      <c r="S987" s="2" t="s">
        <v>0</v>
      </c>
    </row>
    <row r="988" spans="1:19" x14ac:dyDescent="0.3">
      <c r="A988">
        <v>987</v>
      </c>
      <c r="B988" s="5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 s="4">
        <v>0.40910000000000002</v>
      </c>
      <c r="L988" s="3">
        <v>0.32</v>
      </c>
      <c r="M988" s="3">
        <v>0.29849999999999999</v>
      </c>
      <c r="N988" s="3">
        <v>17</v>
      </c>
      <c r="O988" s="3">
        <v>78</v>
      </c>
      <c r="P988" s="3">
        <v>95</v>
      </c>
      <c r="Q988" s="2" t="s">
        <v>2</v>
      </c>
      <c r="R988" s="2" t="s">
        <v>1</v>
      </c>
      <c r="S988" s="2" t="s">
        <v>0</v>
      </c>
    </row>
    <row r="989" spans="1:19" x14ac:dyDescent="0.3">
      <c r="A989">
        <v>988</v>
      </c>
      <c r="B989" s="5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 s="4">
        <v>0.40910000000000002</v>
      </c>
      <c r="L989" s="3">
        <v>0.35</v>
      </c>
      <c r="M989" s="3">
        <v>0.28360000000000002</v>
      </c>
      <c r="N989" s="3">
        <v>11</v>
      </c>
      <c r="O989" s="3">
        <v>50</v>
      </c>
      <c r="P989" s="3">
        <v>61</v>
      </c>
      <c r="Q989" s="2" t="s">
        <v>2</v>
      </c>
      <c r="R989" s="2" t="s">
        <v>1</v>
      </c>
      <c r="S989" s="2" t="s">
        <v>0</v>
      </c>
    </row>
    <row r="990" spans="1:19" x14ac:dyDescent="0.3">
      <c r="A990">
        <v>989</v>
      </c>
      <c r="B990" s="5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 s="4">
        <v>0.40910000000000002</v>
      </c>
      <c r="L990" s="3">
        <v>0.35</v>
      </c>
      <c r="M990" s="3">
        <v>0.32840000000000003</v>
      </c>
      <c r="N990" s="3">
        <v>15</v>
      </c>
      <c r="O990" s="3">
        <v>32</v>
      </c>
      <c r="P990" s="3">
        <v>47</v>
      </c>
      <c r="Q990" s="2" t="s">
        <v>2</v>
      </c>
      <c r="R990" s="2" t="s">
        <v>1</v>
      </c>
      <c r="S990" s="2" t="s">
        <v>0</v>
      </c>
    </row>
    <row r="991" spans="1:19" x14ac:dyDescent="0.3">
      <c r="A991">
        <v>990</v>
      </c>
      <c r="B991" s="5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 s="4">
        <v>0.40910000000000002</v>
      </c>
      <c r="L991" s="3">
        <v>0.35</v>
      </c>
      <c r="M991" s="3">
        <v>0.35820000000000002</v>
      </c>
      <c r="N991" s="3">
        <v>6</v>
      </c>
      <c r="O991" s="3">
        <v>45</v>
      </c>
      <c r="P991" s="3">
        <v>51</v>
      </c>
      <c r="Q991" s="2" t="s">
        <v>2</v>
      </c>
      <c r="R991" s="2" t="s">
        <v>1</v>
      </c>
      <c r="S991" s="2" t="s">
        <v>0</v>
      </c>
    </row>
    <row r="992" spans="1:19" x14ac:dyDescent="0.3">
      <c r="A992">
        <v>991</v>
      </c>
      <c r="B992" s="5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 s="4">
        <v>0.40910000000000002</v>
      </c>
      <c r="L992" s="3">
        <v>0.35</v>
      </c>
      <c r="M992" s="3">
        <v>0.29849999999999999</v>
      </c>
      <c r="N992" s="3">
        <v>5</v>
      </c>
      <c r="O992" s="3">
        <v>31</v>
      </c>
      <c r="P992" s="3">
        <v>36</v>
      </c>
      <c r="Q992" s="2" t="s">
        <v>2</v>
      </c>
      <c r="R992" s="2" t="s">
        <v>1</v>
      </c>
      <c r="S992" s="2" t="s">
        <v>0</v>
      </c>
    </row>
    <row r="993" spans="1:19" x14ac:dyDescent="0.3">
      <c r="A993">
        <v>992</v>
      </c>
      <c r="B993" s="5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 s="4">
        <v>0.40910000000000002</v>
      </c>
      <c r="L993" s="3">
        <v>0.35</v>
      </c>
      <c r="M993" s="3">
        <v>0.35820000000000002</v>
      </c>
      <c r="N993" s="3">
        <v>3</v>
      </c>
      <c r="O993" s="3">
        <v>27</v>
      </c>
      <c r="P993" s="3">
        <v>30</v>
      </c>
      <c r="Q993" s="2" t="s">
        <v>2</v>
      </c>
      <c r="R993" s="2" t="s">
        <v>1</v>
      </c>
      <c r="S993" s="2" t="s">
        <v>0</v>
      </c>
    </row>
    <row r="994" spans="1:19" x14ac:dyDescent="0.3">
      <c r="A994">
        <v>993</v>
      </c>
      <c r="B994" s="5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 s="4">
        <v>0.39389999999999997</v>
      </c>
      <c r="L994" s="3">
        <v>0.37</v>
      </c>
      <c r="M994" s="3">
        <v>0.35820000000000002</v>
      </c>
      <c r="N994" s="3">
        <v>3</v>
      </c>
      <c r="O994" s="3">
        <v>8</v>
      </c>
      <c r="P994" s="3">
        <v>11</v>
      </c>
      <c r="Q994" s="2" t="s">
        <v>2</v>
      </c>
      <c r="R994" s="2" t="s">
        <v>1</v>
      </c>
      <c r="S994" s="2" t="s">
        <v>0</v>
      </c>
    </row>
    <row r="995" spans="1:19" x14ac:dyDescent="0.3">
      <c r="A995">
        <v>994</v>
      </c>
      <c r="B995" s="5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 s="4">
        <v>0.39389999999999997</v>
      </c>
      <c r="L995" s="3">
        <v>0.37</v>
      </c>
      <c r="M995" s="3">
        <v>0.35820000000000002</v>
      </c>
      <c r="N995" s="3">
        <v>1</v>
      </c>
      <c r="O995" s="3">
        <v>6</v>
      </c>
      <c r="P995" s="3">
        <v>7</v>
      </c>
      <c r="Q995" s="2" t="s">
        <v>2</v>
      </c>
      <c r="R995" s="2" t="s">
        <v>1</v>
      </c>
      <c r="S995" s="2" t="s">
        <v>0</v>
      </c>
    </row>
    <row r="996" spans="1:19" x14ac:dyDescent="0.3">
      <c r="A996">
        <v>995</v>
      </c>
      <c r="B996" s="5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 s="4">
        <v>0.33329999999999999</v>
      </c>
      <c r="L996" s="3">
        <v>0.4</v>
      </c>
      <c r="M996" s="3">
        <v>0.29849999999999999</v>
      </c>
      <c r="N996" s="3">
        <v>0</v>
      </c>
      <c r="O996" s="3">
        <v>2</v>
      </c>
      <c r="P996" s="3">
        <v>2</v>
      </c>
      <c r="Q996" s="2" t="s">
        <v>2</v>
      </c>
      <c r="R996" s="2" t="s">
        <v>1</v>
      </c>
      <c r="S996" s="2" t="s">
        <v>0</v>
      </c>
    </row>
    <row r="997" spans="1:19" x14ac:dyDescent="0.3">
      <c r="A997">
        <v>996</v>
      </c>
      <c r="B997" s="5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 s="4">
        <v>0.31819999999999998</v>
      </c>
      <c r="L997" s="3">
        <v>0.46</v>
      </c>
      <c r="M997" s="3">
        <v>0.22389999999999999</v>
      </c>
      <c r="N997" s="3">
        <v>1</v>
      </c>
      <c r="O997" s="3">
        <v>1</v>
      </c>
      <c r="P997" s="3">
        <v>2</v>
      </c>
      <c r="Q997" s="2" t="s">
        <v>2</v>
      </c>
      <c r="R997" s="2" t="s">
        <v>1</v>
      </c>
      <c r="S997" s="2" t="s">
        <v>0</v>
      </c>
    </row>
    <row r="998" spans="1:19" x14ac:dyDescent="0.3">
      <c r="A998">
        <v>997</v>
      </c>
      <c r="B998" s="5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 s="4">
        <v>0.30299999999999999</v>
      </c>
      <c r="L998" s="3">
        <v>0.53</v>
      </c>
      <c r="M998" s="3">
        <v>0.28360000000000002</v>
      </c>
      <c r="N998" s="3">
        <v>0</v>
      </c>
      <c r="O998" s="3">
        <v>2</v>
      </c>
      <c r="P998" s="3">
        <v>2</v>
      </c>
      <c r="Q998" s="2" t="s">
        <v>2</v>
      </c>
      <c r="R998" s="2" t="s">
        <v>1</v>
      </c>
      <c r="S998" s="2" t="s">
        <v>0</v>
      </c>
    </row>
    <row r="999" spans="1:19" x14ac:dyDescent="0.3">
      <c r="A999">
        <v>998</v>
      </c>
      <c r="B999" s="5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 s="4">
        <v>0.30299999999999999</v>
      </c>
      <c r="L999" s="3">
        <v>0.53</v>
      </c>
      <c r="M999" s="3">
        <v>0.28360000000000002</v>
      </c>
      <c r="N999" s="3">
        <v>0</v>
      </c>
      <c r="O999" s="3">
        <v>3</v>
      </c>
      <c r="P999" s="3">
        <v>3</v>
      </c>
      <c r="Q999" s="2" t="s">
        <v>2</v>
      </c>
      <c r="R999" s="2" t="s">
        <v>1</v>
      </c>
      <c r="S999" s="2" t="s">
        <v>0</v>
      </c>
    </row>
    <row r="1000" spans="1:19" x14ac:dyDescent="0.3">
      <c r="A1000">
        <v>999</v>
      </c>
      <c r="B1000" s="5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 s="4">
        <v>0.30299999999999999</v>
      </c>
      <c r="L1000" s="3">
        <v>0.46</v>
      </c>
      <c r="M1000" s="3">
        <v>0.29849999999999999</v>
      </c>
      <c r="N1000" s="3">
        <v>1</v>
      </c>
      <c r="O1000" s="3">
        <v>25</v>
      </c>
      <c r="P1000" s="3">
        <v>26</v>
      </c>
      <c r="Q1000" s="2" t="s">
        <v>2</v>
      </c>
      <c r="R1000" s="2" t="s">
        <v>1</v>
      </c>
      <c r="S1000" s="2" t="s">
        <v>0</v>
      </c>
    </row>
    <row r="1001" spans="1:19" x14ac:dyDescent="0.3">
      <c r="A1001">
        <v>1000</v>
      </c>
      <c r="B1001" s="5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 s="4">
        <v>0.30299999999999999</v>
      </c>
      <c r="L1001" s="3">
        <v>0.46</v>
      </c>
      <c r="M1001" s="3">
        <v>0.29849999999999999</v>
      </c>
      <c r="N1001" s="3">
        <v>2</v>
      </c>
      <c r="O1001" s="3">
        <v>96</v>
      </c>
      <c r="P1001" s="3">
        <v>98</v>
      </c>
      <c r="Q1001" s="2" t="s">
        <v>2</v>
      </c>
      <c r="R1001" s="2" t="s">
        <v>1</v>
      </c>
      <c r="S1001" s="2" t="s">
        <v>0</v>
      </c>
    </row>
  </sheetData>
  <conditionalFormatting sqref="P2:P100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73:K100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{1F5C18E5-B97F-405A-ABAE-F30678C0A957}</x14:id>
        </ext>
      </extLst>
    </cfRule>
  </conditionalFormatting>
  <conditionalFormatting sqref="J2:K10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{55E7B087-EA23-482F-BC4B-7E2A06F46F60}</x14:id>
        </ext>
      </extLst>
    </cfRule>
  </conditionalFormatting>
  <conditionalFormatting sqref="L2:M100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:Q1001">
    <cfRule type="cellIs" dxfId="0" priority="2" operator="equal">
      <formula>"Spring"</formula>
    </cfRule>
  </conditionalFormatting>
  <conditionalFormatting sqref="C2:C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5C18E5-B97F-405A-ABAE-F30678C0A9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J973:K1001</xm:sqref>
        </x14:conditionalFormatting>
        <x14:conditionalFormatting xmlns:xm="http://schemas.microsoft.com/office/excel/2006/main">
          <x14:cfRule type="dataBar" id="{55E7B087-EA23-482F-BC4B-7E2A06F46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J2:K1001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</dc:creator>
  <cp:lastModifiedBy>Suresh Kumar</cp:lastModifiedBy>
  <dcterms:created xsi:type="dcterms:W3CDTF">2026-07-25T08:58:33Z</dcterms:created>
  <dcterms:modified xsi:type="dcterms:W3CDTF">2026-07-25T09:14:57Z</dcterms:modified>
</cp:coreProperties>
</file>