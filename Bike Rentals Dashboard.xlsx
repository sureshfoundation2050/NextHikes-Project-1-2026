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08" windowWidth="22980" windowHeight="9288" activeTab="1"/>
  </bookViews>
  <sheets>
    <sheet name="BikeData2 Raw" sheetId="3" r:id="rId1"/>
    <sheet name="Table3" sheetId="6" r:id="rId2"/>
  </sheets>
  <externalReferences>
    <externalReference r:id="rId3"/>
  </externalReferences>
  <calcPr calcId="144525"/>
</workbook>
</file>

<file path=xl/calcChain.xml><?xml version="1.0" encoding="utf-8"?>
<calcChain xmlns="http://schemas.openxmlformats.org/spreadsheetml/2006/main">
  <c r="S4" i="6" l="1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S367" i="6"/>
  <c r="S368" i="6"/>
  <c r="S369" i="6"/>
  <c r="S370" i="6"/>
  <c r="S371" i="6"/>
  <c r="S372" i="6"/>
  <c r="S373" i="6"/>
  <c r="S374" i="6"/>
  <c r="S375" i="6"/>
  <c r="S376" i="6"/>
  <c r="S377" i="6"/>
  <c r="S378" i="6"/>
  <c r="S379" i="6"/>
  <c r="S380" i="6"/>
  <c r="S381" i="6"/>
  <c r="S382" i="6"/>
  <c r="S383" i="6"/>
  <c r="S384" i="6"/>
  <c r="S385" i="6"/>
  <c r="S386" i="6"/>
  <c r="S387" i="6"/>
  <c r="S388" i="6"/>
  <c r="S389" i="6"/>
  <c r="S390" i="6"/>
  <c r="S391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R367" i="6"/>
  <c r="R368" i="6"/>
  <c r="R369" i="6"/>
  <c r="R370" i="6"/>
  <c r="R371" i="6"/>
  <c r="R372" i="6"/>
  <c r="R373" i="6"/>
  <c r="R374" i="6"/>
  <c r="R375" i="6"/>
  <c r="R376" i="6"/>
  <c r="R377" i="6"/>
  <c r="R378" i="6"/>
  <c r="R379" i="6"/>
  <c r="R380" i="6"/>
  <c r="R381" i="6"/>
  <c r="R382" i="6"/>
  <c r="R383" i="6"/>
  <c r="R384" i="6"/>
  <c r="R385" i="6"/>
  <c r="R386" i="6"/>
  <c r="R387" i="6"/>
  <c r="R388" i="6"/>
  <c r="R389" i="6"/>
  <c r="R390" i="6"/>
  <c r="R391" i="6"/>
  <c r="R2" i="6"/>
  <c r="Q3" i="6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51" i="6"/>
  <c r="Q52" i="6"/>
  <c r="Q53" i="6"/>
  <c r="Q54" i="6"/>
  <c r="Q55" i="6"/>
  <c r="Q56" i="6"/>
  <c r="Q57" i="6"/>
  <c r="Q58" i="6"/>
  <c r="Q59" i="6"/>
  <c r="Q60" i="6"/>
  <c r="Q61" i="6"/>
  <c r="Q62" i="6"/>
  <c r="Q63" i="6"/>
  <c r="Q64" i="6"/>
  <c r="Q65" i="6"/>
  <c r="Q66" i="6"/>
  <c r="Q67" i="6"/>
  <c r="Q68" i="6"/>
  <c r="Q69" i="6"/>
  <c r="Q70" i="6"/>
  <c r="Q71" i="6"/>
  <c r="Q72" i="6"/>
  <c r="Q73" i="6"/>
  <c r="Q74" i="6"/>
  <c r="Q75" i="6"/>
  <c r="Q76" i="6"/>
  <c r="Q77" i="6"/>
  <c r="Q78" i="6"/>
  <c r="Q79" i="6"/>
  <c r="Q80" i="6"/>
  <c r="Q81" i="6"/>
  <c r="Q82" i="6"/>
  <c r="Q83" i="6"/>
  <c r="Q84" i="6"/>
  <c r="Q85" i="6"/>
  <c r="Q86" i="6"/>
  <c r="Q87" i="6"/>
  <c r="Q88" i="6"/>
  <c r="Q89" i="6"/>
  <c r="Q90" i="6"/>
  <c r="Q91" i="6"/>
  <c r="Q92" i="6"/>
  <c r="Q93" i="6"/>
  <c r="Q94" i="6"/>
  <c r="Q95" i="6"/>
  <c r="Q96" i="6"/>
  <c r="Q97" i="6"/>
  <c r="Q98" i="6"/>
  <c r="Q99" i="6"/>
  <c r="Q100" i="6"/>
  <c r="Q101" i="6"/>
  <c r="Q102" i="6"/>
  <c r="Q103" i="6"/>
  <c r="Q104" i="6"/>
  <c r="Q105" i="6"/>
  <c r="Q106" i="6"/>
  <c r="Q107" i="6"/>
  <c r="Q108" i="6"/>
  <c r="Q109" i="6"/>
  <c r="Q110" i="6"/>
  <c r="Q111" i="6"/>
  <c r="Q112" i="6"/>
  <c r="Q113" i="6"/>
  <c r="Q114" i="6"/>
  <c r="Q115" i="6"/>
  <c r="Q116" i="6"/>
  <c r="Q117" i="6"/>
  <c r="Q118" i="6"/>
  <c r="Q119" i="6"/>
  <c r="Q120" i="6"/>
  <c r="Q121" i="6"/>
  <c r="Q122" i="6"/>
  <c r="Q123" i="6"/>
  <c r="Q124" i="6"/>
  <c r="Q125" i="6"/>
  <c r="Q126" i="6"/>
  <c r="Q127" i="6"/>
  <c r="Q128" i="6"/>
  <c r="Q129" i="6"/>
  <c r="Q130" i="6"/>
  <c r="Q131" i="6"/>
  <c r="Q132" i="6"/>
  <c r="Q133" i="6"/>
  <c r="Q134" i="6"/>
  <c r="Q135" i="6"/>
  <c r="Q136" i="6"/>
  <c r="Q137" i="6"/>
  <c r="Q138" i="6"/>
  <c r="Q139" i="6"/>
  <c r="Q140" i="6"/>
  <c r="Q141" i="6"/>
  <c r="Q142" i="6"/>
  <c r="Q143" i="6"/>
  <c r="Q144" i="6"/>
  <c r="Q145" i="6"/>
  <c r="Q146" i="6"/>
  <c r="Q147" i="6"/>
  <c r="Q148" i="6"/>
  <c r="Q149" i="6"/>
  <c r="Q150" i="6"/>
  <c r="Q151" i="6"/>
  <c r="Q152" i="6"/>
  <c r="Q153" i="6"/>
  <c r="Q154" i="6"/>
  <c r="Q155" i="6"/>
  <c r="Q156" i="6"/>
  <c r="Q157" i="6"/>
  <c r="Q158" i="6"/>
  <c r="Q159" i="6"/>
  <c r="Q160" i="6"/>
  <c r="Q161" i="6"/>
  <c r="Q162" i="6"/>
  <c r="Q163" i="6"/>
  <c r="Q164" i="6"/>
  <c r="Q165" i="6"/>
  <c r="Q166" i="6"/>
  <c r="Q167" i="6"/>
  <c r="Q168" i="6"/>
  <c r="Q169" i="6"/>
  <c r="Q170" i="6"/>
  <c r="Q171" i="6"/>
  <c r="Q172" i="6"/>
  <c r="Q173" i="6"/>
  <c r="Q174" i="6"/>
  <c r="Q175" i="6"/>
  <c r="Q176" i="6"/>
  <c r="Q177" i="6"/>
  <c r="Q178" i="6"/>
  <c r="Q179" i="6"/>
  <c r="Q180" i="6"/>
  <c r="Q181" i="6"/>
  <c r="Q182" i="6"/>
  <c r="Q183" i="6"/>
  <c r="Q184" i="6"/>
  <c r="Q185" i="6"/>
  <c r="Q186" i="6"/>
  <c r="Q187" i="6"/>
  <c r="Q188" i="6"/>
  <c r="Q189" i="6"/>
  <c r="Q190" i="6"/>
  <c r="Q191" i="6"/>
  <c r="Q192" i="6"/>
  <c r="Q193" i="6"/>
  <c r="Q194" i="6"/>
  <c r="Q195" i="6"/>
  <c r="Q196" i="6"/>
  <c r="Q197" i="6"/>
  <c r="Q198" i="6"/>
  <c r="Q199" i="6"/>
  <c r="Q200" i="6"/>
  <c r="Q201" i="6"/>
  <c r="Q202" i="6"/>
  <c r="Q203" i="6"/>
  <c r="Q204" i="6"/>
  <c r="Q205" i="6"/>
  <c r="Q206" i="6"/>
  <c r="Q207" i="6"/>
  <c r="Q208" i="6"/>
  <c r="Q209" i="6"/>
  <c r="Q210" i="6"/>
  <c r="Q211" i="6"/>
  <c r="Q212" i="6"/>
  <c r="Q213" i="6"/>
  <c r="Q214" i="6"/>
  <c r="Q215" i="6"/>
  <c r="Q216" i="6"/>
  <c r="Q217" i="6"/>
  <c r="Q218" i="6"/>
  <c r="Q219" i="6"/>
  <c r="Q220" i="6"/>
  <c r="Q221" i="6"/>
  <c r="Q222" i="6"/>
  <c r="Q223" i="6"/>
  <c r="Q224" i="6"/>
  <c r="Q225" i="6"/>
  <c r="Q226" i="6"/>
  <c r="Q227" i="6"/>
  <c r="Q228" i="6"/>
  <c r="Q229" i="6"/>
  <c r="Q230" i="6"/>
  <c r="Q231" i="6"/>
  <c r="Q232" i="6"/>
  <c r="Q233" i="6"/>
  <c r="Q234" i="6"/>
  <c r="Q235" i="6"/>
  <c r="Q236" i="6"/>
  <c r="Q237" i="6"/>
  <c r="Q238" i="6"/>
  <c r="Q239" i="6"/>
  <c r="Q240" i="6"/>
  <c r="Q241" i="6"/>
  <c r="Q242" i="6"/>
  <c r="Q243" i="6"/>
  <c r="Q244" i="6"/>
  <c r="Q245" i="6"/>
  <c r="Q246" i="6"/>
  <c r="Q247" i="6"/>
  <c r="Q248" i="6"/>
  <c r="Q249" i="6"/>
  <c r="Q250" i="6"/>
  <c r="Q251" i="6"/>
  <c r="Q252" i="6"/>
  <c r="Q253" i="6"/>
  <c r="Q254" i="6"/>
  <c r="Q255" i="6"/>
  <c r="Q256" i="6"/>
  <c r="Q257" i="6"/>
  <c r="Q258" i="6"/>
  <c r="Q259" i="6"/>
  <c r="Q260" i="6"/>
  <c r="Q261" i="6"/>
  <c r="Q262" i="6"/>
  <c r="Q263" i="6"/>
  <c r="Q264" i="6"/>
  <c r="Q265" i="6"/>
  <c r="Q266" i="6"/>
  <c r="Q267" i="6"/>
  <c r="Q268" i="6"/>
  <c r="Q269" i="6"/>
  <c r="Q270" i="6"/>
  <c r="Q271" i="6"/>
  <c r="Q272" i="6"/>
  <c r="Q273" i="6"/>
  <c r="Q274" i="6"/>
  <c r="Q275" i="6"/>
  <c r="Q276" i="6"/>
  <c r="Q277" i="6"/>
  <c r="Q278" i="6"/>
  <c r="Q279" i="6"/>
  <c r="Q280" i="6"/>
  <c r="Q281" i="6"/>
  <c r="Q282" i="6"/>
  <c r="Q283" i="6"/>
  <c r="Q284" i="6"/>
  <c r="Q285" i="6"/>
  <c r="Q286" i="6"/>
  <c r="Q287" i="6"/>
  <c r="Q288" i="6"/>
  <c r="Q289" i="6"/>
  <c r="Q290" i="6"/>
  <c r="Q291" i="6"/>
  <c r="Q292" i="6"/>
  <c r="Q293" i="6"/>
  <c r="Q294" i="6"/>
  <c r="Q295" i="6"/>
  <c r="Q296" i="6"/>
  <c r="Q297" i="6"/>
  <c r="Q298" i="6"/>
  <c r="Q299" i="6"/>
  <c r="Q300" i="6"/>
  <c r="Q301" i="6"/>
  <c r="Q302" i="6"/>
  <c r="Q303" i="6"/>
  <c r="Q304" i="6"/>
  <c r="Q305" i="6"/>
  <c r="Q306" i="6"/>
  <c r="Q307" i="6"/>
  <c r="Q308" i="6"/>
  <c r="Q309" i="6"/>
  <c r="Q310" i="6"/>
  <c r="Q311" i="6"/>
  <c r="Q312" i="6"/>
  <c r="Q313" i="6"/>
  <c r="Q314" i="6"/>
  <c r="Q315" i="6"/>
  <c r="Q316" i="6"/>
  <c r="Q317" i="6"/>
  <c r="Q318" i="6"/>
  <c r="Q319" i="6"/>
  <c r="Q320" i="6"/>
  <c r="Q321" i="6"/>
  <c r="Q322" i="6"/>
  <c r="Q323" i="6"/>
  <c r="Q324" i="6"/>
  <c r="Q325" i="6"/>
  <c r="Q326" i="6"/>
  <c r="Q327" i="6"/>
  <c r="Q328" i="6"/>
  <c r="Q329" i="6"/>
  <c r="Q330" i="6"/>
  <c r="Q331" i="6"/>
  <c r="Q332" i="6"/>
  <c r="Q333" i="6"/>
  <c r="Q334" i="6"/>
  <c r="Q335" i="6"/>
  <c r="Q336" i="6"/>
  <c r="Q337" i="6"/>
  <c r="Q338" i="6"/>
  <c r="Q339" i="6"/>
  <c r="Q340" i="6"/>
  <c r="Q341" i="6"/>
  <c r="Q342" i="6"/>
  <c r="Q343" i="6"/>
  <c r="Q344" i="6"/>
  <c r="Q345" i="6"/>
  <c r="Q346" i="6"/>
  <c r="Q347" i="6"/>
  <c r="Q348" i="6"/>
  <c r="Q349" i="6"/>
  <c r="Q350" i="6"/>
  <c r="Q351" i="6"/>
  <c r="Q352" i="6"/>
  <c r="Q353" i="6"/>
  <c r="Q354" i="6"/>
  <c r="Q355" i="6"/>
  <c r="Q356" i="6"/>
  <c r="Q357" i="6"/>
  <c r="Q358" i="6"/>
  <c r="Q359" i="6"/>
  <c r="Q360" i="6"/>
  <c r="Q361" i="6"/>
  <c r="Q362" i="6"/>
  <c r="Q363" i="6"/>
  <c r="Q364" i="6"/>
  <c r="Q365" i="6"/>
  <c r="Q366" i="6"/>
  <c r="Q367" i="6"/>
  <c r="Q368" i="6"/>
  <c r="Q369" i="6"/>
  <c r="Q370" i="6"/>
  <c r="Q371" i="6"/>
  <c r="Q372" i="6"/>
  <c r="Q373" i="6"/>
  <c r="Q374" i="6"/>
  <c r="Q375" i="6"/>
  <c r="Q376" i="6"/>
  <c r="Q377" i="6"/>
  <c r="Q378" i="6"/>
  <c r="Q379" i="6"/>
  <c r="Q380" i="6"/>
  <c r="Q381" i="6"/>
  <c r="Q382" i="6"/>
  <c r="Q383" i="6"/>
  <c r="Q384" i="6"/>
  <c r="Q385" i="6"/>
  <c r="Q386" i="6"/>
  <c r="Q387" i="6"/>
  <c r="Q388" i="6"/>
  <c r="Q389" i="6"/>
  <c r="Q390" i="6"/>
  <c r="Q391" i="6"/>
  <c r="Q2" i="6"/>
</calcChain>
</file>

<file path=xl/sharedStrings.xml><?xml version="1.0" encoding="utf-8"?>
<sst xmlns="http://schemas.openxmlformats.org/spreadsheetml/2006/main" count="29" uniqueCount="21">
  <si>
    <t>Date</t>
  </si>
  <si>
    <t>Season</t>
  </si>
  <si>
    <t>Month</t>
  </si>
  <si>
    <t>Hour</t>
  </si>
  <si>
    <t>Holiday</t>
  </si>
  <si>
    <t>Weekday</t>
  </si>
  <si>
    <t>Weathersituation</t>
  </si>
  <si>
    <t>Temperature</t>
  </si>
  <si>
    <t>Intents</t>
  </si>
  <si>
    <t>Humidity</t>
  </si>
  <si>
    <t>Windspeed</t>
  </si>
  <si>
    <t>Casual</t>
  </si>
  <si>
    <t>Registered</t>
  </si>
  <si>
    <t>Count</t>
  </si>
  <si>
    <t>Year</t>
  </si>
  <si>
    <t>AntTemp</t>
  </si>
  <si>
    <t>Season_Name</t>
  </si>
  <si>
    <t>Weather_Name</t>
  </si>
  <si>
    <t>Month_Name</t>
  </si>
  <si>
    <t>Jan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</si>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</sst>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1" fillId="0" borderId="0" xfId="0" applyFont="1"/>
    <xf numFmtId="1" fontId="1" fillId="0" borderId="0" xfId="0" applyNumberFormat="1" applyFont="1"/>
    <xf numFmtId="1" fontId="0" fillId="0" borderId="0" xfId="0" applyNumberFormat="1"/>
    <xf numFmtId="14" fontId="1" fillId="0" borderId="0" xfId="0" applyNumberFormat="1" applyFont="1"/>
    <xf numFmtId="0" fontId="0" fillId="0" borderId="0" xfId="0" applyAlignment="1">
      <alignment horizontal="left" indent="4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/>
  </cellXfs>
  <cellStyles count="1">
    <cellStyle name="Normal" xfId="0" builtinId="0"/>
  </cellStyles>
  <dxfs count="9">
    <dxf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wrapText="0" indent="0" justifyLastLine="0" shrinkToFit="0" readingOrder="0"/>
    </dxf>
    <dxf>
      <numFmt numFmtId="1" formatCode="0"/>
    </dxf>
    <dxf>
      <numFmt numFmtId="1" formatCode="0"/>
    </dxf>
    <dxf>
      <numFmt numFmtId="1" formatCode="0"/>
    </dxf>
    <dxf>
      <alignment horizontal="left" vertical="bottom" textRotation="0" wrapText="0" relativeIndent="-1" justifyLastLine="0" shrinkToFit="0" readingOrder="0"/>
    </dxf>
    <dxf>
      <numFmt numFmtId="19" formatCode="dd/mm/yyyy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ikeData%20Dashboard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</sheetNames>
    <sheetDataSet>
      <sheetData sheetId="0">
        <row r="6">
          <cell r="O6" t="str">
            <v>Sum of Count</v>
          </cell>
        </row>
        <row r="7">
          <cell r="D7" t="str">
            <v>Sum of Count</v>
          </cell>
          <cell r="N7">
            <v>1</v>
          </cell>
          <cell r="O7">
            <v>37373</v>
          </cell>
        </row>
        <row r="8">
          <cell r="C8">
            <v>0</v>
          </cell>
          <cell r="D8">
            <v>466</v>
          </cell>
          <cell r="N8">
            <v>2</v>
          </cell>
          <cell r="O8">
            <v>18106</v>
          </cell>
        </row>
        <row r="9">
          <cell r="C9">
            <v>1</v>
          </cell>
          <cell r="D9">
            <v>298</v>
          </cell>
          <cell r="N9">
            <v>3</v>
          </cell>
          <cell r="O9">
            <v>2789</v>
          </cell>
        </row>
        <row r="10">
          <cell r="C10">
            <v>2</v>
          </cell>
          <cell r="D10">
            <v>168</v>
          </cell>
          <cell r="N10">
            <v>4</v>
          </cell>
          <cell r="O10">
            <v>36</v>
          </cell>
        </row>
        <row r="11">
          <cell r="C11">
            <v>3</v>
          </cell>
          <cell r="D11">
            <v>91</v>
          </cell>
          <cell r="N11" t="str">
            <v>Grand Total</v>
          </cell>
          <cell r="O11">
            <v>58304</v>
          </cell>
        </row>
        <row r="12">
          <cell r="C12">
            <v>4</v>
          </cell>
          <cell r="D12">
            <v>37</v>
          </cell>
        </row>
        <row r="13">
          <cell r="C13">
            <v>5</v>
          </cell>
          <cell r="D13">
            <v>97</v>
          </cell>
        </row>
        <row r="14">
          <cell r="C14">
            <v>6</v>
          </cell>
          <cell r="D14">
            <v>553</v>
          </cell>
        </row>
        <row r="15">
          <cell r="C15">
            <v>7</v>
          </cell>
          <cell r="D15">
            <v>1759</v>
          </cell>
        </row>
        <row r="16">
          <cell r="C16">
            <v>8</v>
          </cell>
          <cell r="D16">
            <v>3524</v>
          </cell>
        </row>
        <row r="17">
          <cell r="C17">
            <v>9</v>
          </cell>
          <cell r="D17">
            <v>2101</v>
          </cell>
        </row>
        <row r="18">
          <cell r="C18">
            <v>10</v>
          </cell>
          <cell r="D18">
            <v>1304</v>
          </cell>
        </row>
        <row r="19">
          <cell r="C19">
            <v>11</v>
          </cell>
          <cell r="D19">
            <v>1511</v>
          </cell>
        </row>
        <row r="20">
          <cell r="C20">
            <v>12</v>
          </cell>
          <cell r="D20">
            <v>1841</v>
          </cell>
        </row>
        <row r="21">
          <cell r="C21">
            <v>13</v>
          </cell>
          <cell r="D21">
            <v>2145</v>
          </cell>
        </row>
        <row r="22">
          <cell r="C22">
            <v>14</v>
          </cell>
          <cell r="D22">
            <v>1887</v>
          </cell>
        </row>
        <row r="23">
          <cell r="C23">
            <v>15</v>
          </cell>
          <cell r="D23">
            <v>1987</v>
          </cell>
        </row>
        <row r="24">
          <cell r="C24">
            <v>16</v>
          </cell>
          <cell r="D24">
            <v>2435</v>
          </cell>
        </row>
        <row r="25">
          <cell r="C25">
            <v>17</v>
          </cell>
          <cell r="D25">
            <v>4328</v>
          </cell>
        </row>
        <row r="26">
          <cell r="C26">
            <v>18</v>
          </cell>
          <cell r="D26">
            <v>3474</v>
          </cell>
        </row>
        <row r="27">
          <cell r="C27">
            <v>19</v>
          </cell>
          <cell r="D27">
            <v>2536</v>
          </cell>
        </row>
        <row r="28">
          <cell r="C28">
            <v>20</v>
          </cell>
          <cell r="D28">
            <v>1815</v>
          </cell>
        </row>
        <row r="29">
          <cell r="C29">
            <v>21</v>
          </cell>
          <cell r="D29">
            <v>1380</v>
          </cell>
        </row>
        <row r="30">
          <cell r="C30">
            <v>22</v>
          </cell>
          <cell r="D30">
            <v>960</v>
          </cell>
        </row>
        <row r="31">
          <cell r="C31">
            <v>23</v>
          </cell>
          <cell r="D31">
            <v>676</v>
          </cell>
        </row>
        <row r="32">
          <cell r="C32" t="str">
            <v>Grand Total</v>
          </cell>
          <cell r="D32">
            <v>37373</v>
          </cell>
        </row>
      </sheetData>
    </sheetDataSet>
  </externalBook>
</externalLink>
</file>

<file path=xl/tables/table1.xml><?xml version="1.0" encoding="utf-8"?>
<table xmlns="http://schemas.openxmlformats.org/spreadsheetml/2006/main" id="3" name="FinalData" displayName="FinalData" ref="A1:S391" totalsRowShown="0" headerRowDxfId="8">
  <autoFilter ref="A1:S391"/>
  <sortState ref="A2:S391">
    <sortCondition ref="A2:A391"/>
  </sortState>
  <tableColumns count="19">
    <tableColumn id="1" name="Intents"/>
    <tableColumn id="2" name="Date" dataDxfId="7"/>
    <tableColumn id="3" name="Season"/>
    <tableColumn id="4" name="Year"/>
    <tableColumn id="5" name="Month"/>
    <tableColumn id="6" name="Hour"/>
    <tableColumn id="7" name="Holiday"/>
    <tableColumn id="8" name="Weekday"/>
    <tableColumn id="9" name="Weathersituation"/>
    <tableColumn id="10" name="Temperature"/>
    <tableColumn id="11" name="AntTemp" dataDxfId="6"/>
    <tableColumn id="12" name="Humidity"/>
    <tableColumn id="13" name="Windspeed"/>
    <tableColumn id="14" name="Casual" dataDxfId="5"/>
    <tableColumn id="15" name="Registered" dataDxfId="4"/>
    <tableColumn id="16" name="Count" dataDxfId="3"/>
    <tableColumn id="17" name="Season_Name" dataDxfId="2">
      <calculatedColumnFormula>CHOOSE(FinalData[[#This Row],[Season]],"Spring","Summer","Fall","Winter")</calculatedColumnFormula>
    </tableColumn>
    <tableColumn id="18" name="Weather_Name" dataDxfId="1">
      <calculatedColumnFormula>CHOOSE(FinalData[[#This Row],[Weathersituation]],"Clear","Mist","Light Rain","Heavy Rain")</calculatedColumnFormula>
    </tableColumn>
    <tableColumn id="19" name="Month_Name" dataDxfId="0">
      <calculatedColumnFormula>TEXT(FinalData[[#This Row],[Date]],"mmm")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4" name="Table3" displayName="Table3" ref="M393:M394" insertRow="1" totalsRowShown="0">
  <autoFilter ref="M393:M394"/>
  <tableColumns count="1">
    <tableColumn id="1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1"/>
  <sheetViews>
    <sheetView topLeftCell="A584" workbookViewId="0">
      <selection sqref="A1:G611"/>
    </sheetView>
  </sheetViews>
  <sheetFormatPr defaultRowHeight="14.4" x14ac:dyDescent="0.3"/>
  <sheetData>
    <row r="1" spans="1:7" x14ac:dyDescent="0.3">
      <c r="A1" t="s">
        <v>8</v>
      </c>
      <c r="B1" t="s">
        <v>7</v>
      </c>
      <c r="C1" t="s">
        <v>9</v>
      </c>
      <c r="D1" t="s">
        <v>10</v>
      </c>
      <c r="E1" t="s">
        <v>11</v>
      </c>
      <c r="F1" t="s">
        <v>12</v>
      </c>
      <c r="G1" t="s">
        <v>13</v>
      </c>
    </row>
    <row r="2" spans="1:7" x14ac:dyDescent="0.3">
      <c r="A2">
        <v>1</v>
      </c>
      <c r="B2">
        <v>0.28789999999999999</v>
      </c>
      <c r="C2">
        <v>0.81</v>
      </c>
      <c r="D2">
        <v>0</v>
      </c>
      <c r="E2">
        <v>3</v>
      </c>
      <c r="F2">
        <v>13</v>
      </c>
      <c r="G2">
        <v>16</v>
      </c>
    </row>
    <row r="3" spans="1:7" x14ac:dyDescent="0.3">
      <c r="A3">
        <v>2</v>
      </c>
      <c r="B3">
        <v>0.2727</v>
      </c>
      <c r="C3">
        <v>0.8</v>
      </c>
      <c r="D3">
        <v>0</v>
      </c>
      <c r="E3">
        <v>8</v>
      </c>
      <c r="F3">
        <v>32</v>
      </c>
      <c r="G3">
        <v>40</v>
      </c>
    </row>
    <row r="4" spans="1:7" x14ac:dyDescent="0.3">
      <c r="A4">
        <v>3</v>
      </c>
      <c r="B4">
        <v>0.2727</v>
      </c>
      <c r="C4">
        <v>0.8</v>
      </c>
      <c r="D4">
        <v>0</v>
      </c>
      <c r="E4">
        <v>5</v>
      </c>
      <c r="F4">
        <v>27</v>
      </c>
      <c r="G4">
        <v>32</v>
      </c>
    </row>
    <row r="5" spans="1:7" x14ac:dyDescent="0.3">
      <c r="A5">
        <v>4</v>
      </c>
      <c r="B5">
        <v>0.28789999999999999</v>
      </c>
      <c r="C5">
        <v>0.75</v>
      </c>
      <c r="D5">
        <v>0</v>
      </c>
      <c r="E5">
        <v>3</v>
      </c>
      <c r="F5">
        <v>10</v>
      </c>
      <c r="G5">
        <v>13</v>
      </c>
    </row>
    <row r="6" spans="1:7" x14ac:dyDescent="0.3">
      <c r="A6">
        <v>5</v>
      </c>
      <c r="B6">
        <v>0.28789999999999999</v>
      </c>
      <c r="C6">
        <v>0.75</v>
      </c>
      <c r="D6">
        <v>0</v>
      </c>
      <c r="E6">
        <v>0</v>
      </c>
      <c r="F6">
        <v>1</v>
      </c>
      <c r="G6">
        <v>1</v>
      </c>
    </row>
    <row r="7" spans="1:7" x14ac:dyDescent="0.3">
      <c r="A7">
        <v>6</v>
      </c>
      <c r="B7">
        <v>0.2576</v>
      </c>
      <c r="C7">
        <v>0.75</v>
      </c>
      <c r="D7">
        <v>8.9599999999999999E-2</v>
      </c>
      <c r="E7">
        <v>0</v>
      </c>
      <c r="F7">
        <v>1</v>
      </c>
      <c r="G7">
        <v>1</v>
      </c>
    </row>
    <row r="8" spans="1:7" x14ac:dyDescent="0.3">
      <c r="A8">
        <v>7</v>
      </c>
      <c r="B8">
        <v>0.2727</v>
      </c>
      <c r="C8">
        <v>0.8</v>
      </c>
      <c r="D8">
        <v>0</v>
      </c>
      <c r="E8">
        <v>2</v>
      </c>
      <c r="F8">
        <v>0</v>
      </c>
      <c r="G8">
        <v>2</v>
      </c>
    </row>
    <row r="9" spans="1:7" x14ac:dyDescent="0.3">
      <c r="A9">
        <v>8</v>
      </c>
      <c r="B9">
        <v>0.2576</v>
      </c>
      <c r="C9">
        <v>0.86</v>
      </c>
      <c r="D9">
        <v>0</v>
      </c>
      <c r="E9">
        <v>1</v>
      </c>
      <c r="F9">
        <v>2</v>
      </c>
      <c r="G9">
        <v>3</v>
      </c>
    </row>
    <row r="10" spans="1:7" x14ac:dyDescent="0.3">
      <c r="A10">
        <v>9</v>
      </c>
      <c r="B10">
        <v>0.2006</v>
      </c>
      <c r="C10">
        <v>0.75</v>
      </c>
      <c r="D10">
        <v>0</v>
      </c>
      <c r="E10">
        <v>1</v>
      </c>
      <c r="F10">
        <v>7</v>
      </c>
      <c r="G10">
        <v>8</v>
      </c>
    </row>
    <row r="11" spans="1:7" x14ac:dyDescent="0.3">
      <c r="A11">
        <v>10</v>
      </c>
      <c r="B11">
        <v>0.34849999999999998</v>
      </c>
      <c r="C11">
        <v>0.76</v>
      </c>
      <c r="D11">
        <v>0</v>
      </c>
      <c r="E11">
        <v>8</v>
      </c>
      <c r="F11">
        <v>6</v>
      </c>
      <c r="G11">
        <v>14</v>
      </c>
    </row>
    <row r="12" spans="1:7" x14ac:dyDescent="0.3">
      <c r="A12">
        <v>11</v>
      </c>
      <c r="B12">
        <v>0.39389999999999997</v>
      </c>
      <c r="C12">
        <v>0.76</v>
      </c>
      <c r="D12">
        <v>0.25369999999999998</v>
      </c>
      <c r="E12">
        <v>12</v>
      </c>
      <c r="F12">
        <v>24</v>
      </c>
      <c r="G12">
        <v>36</v>
      </c>
    </row>
    <row r="13" spans="1:7" x14ac:dyDescent="0.3">
      <c r="A13">
        <v>12</v>
      </c>
      <c r="B13">
        <v>0.33329999999999999</v>
      </c>
      <c r="C13">
        <v>0.81</v>
      </c>
      <c r="D13">
        <v>0.28360000000000002</v>
      </c>
      <c r="E13">
        <v>26</v>
      </c>
      <c r="F13">
        <v>30</v>
      </c>
      <c r="G13">
        <v>56</v>
      </c>
    </row>
    <row r="14" spans="1:7" x14ac:dyDescent="0.3">
      <c r="A14">
        <v>13</v>
      </c>
      <c r="B14">
        <v>0.42420000000000002</v>
      </c>
      <c r="C14">
        <v>0.77</v>
      </c>
      <c r="D14">
        <v>0.28360000000000002</v>
      </c>
      <c r="E14">
        <v>29</v>
      </c>
      <c r="F14">
        <v>55</v>
      </c>
      <c r="G14">
        <v>84</v>
      </c>
    </row>
    <row r="15" spans="1:7" x14ac:dyDescent="0.3">
      <c r="A15">
        <v>14</v>
      </c>
      <c r="B15">
        <v>0.45450000000000002</v>
      </c>
      <c r="C15">
        <v>0.72</v>
      </c>
      <c r="D15">
        <v>0.29849999999999999</v>
      </c>
      <c r="E15">
        <v>47</v>
      </c>
      <c r="F15">
        <v>47</v>
      </c>
      <c r="G15">
        <v>94</v>
      </c>
    </row>
    <row r="16" spans="1:7" x14ac:dyDescent="0.3">
      <c r="A16">
        <v>15</v>
      </c>
      <c r="B16">
        <v>0.45450000000000002</v>
      </c>
      <c r="C16">
        <v>0.72</v>
      </c>
      <c r="D16">
        <v>0.28360000000000002</v>
      </c>
      <c r="E16">
        <v>35</v>
      </c>
      <c r="F16">
        <v>71</v>
      </c>
      <c r="G16">
        <v>106</v>
      </c>
    </row>
    <row r="17" spans="1:7" x14ac:dyDescent="0.3">
      <c r="A17">
        <v>16</v>
      </c>
      <c r="B17">
        <v>0.43940000000000001</v>
      </c>
      <c r="C17">
        <v>0.77</v>
      </c>
      <c r="D17">
        <v>0.29849999999999999</v>
      </c>
      <c r="E17">
        <v>40</v>
      </c>
      <c r="F17">
        <v>70</v>
      </c>
      <c r="G17">
        <v>110</v>
      </c>
    </row>
    <row r="18" spans="1:7" x14ac:dyDescent="0.3">
      <c r="A18">
        <v>17</v>
      </c>
      <c r="B18">
        <v>0.42420000000000002</v>
      </c>
      <c r="C18">
        <v>0.82</v>
      </c>
      <c r="D18">
        <v>0.29849999999999999</v>
      </c>
      <c r="E18">
        <v>41</v>
      </c>
      <c r="F18">
        <v>52</v>
      </c>
      <c r="G18">
        <v>93</v>
      </c>
    </row>
    <row r="19" spans="1:7" x14ac:dyDescent="0.3">
      <c r="A19">
        <v>18</v>
      </c>
      <c r="B19">
        <v>0.2006</v>
      </c>
      <c r="C19">
        <v>0.82</v>
      </c>
      <c r="D19">
        <v>0.28360000000000002</v>
      </c>
      <c r="E19">
        <v>15</v>
      </c>
      <c r="F19">
        <v>52</v>
      </c>
      <c r="G19">
        <v>67</v>
      </c>
    </row>
    <row r="20" spans="1:7" x14ac:dyDescent="0.3">
      <c r="A20">
        <v>19</v>
      </c>
      <c r="B20">
        <v>0.42420000000000002</v>
      </c>
      <c r="C20">
        <v>0.88</v>
      </c>
      <c r="D20">
        <v>0.25369999999999998</v>
      </c>
      <c r="E20">
        <v>9</v>
      </c>
      <c r="F20">
        <v>26</v>
      </c>
      <c r="G20">
        <v>35</v>
      </c>
    </row>
    <row r="21" spans="1:7" x14ac:dyDescent="0.3">
      <c r="A21">
        <v>20</v>
      </c>
      <c r="B21">
        <v>0.42420000000000002</v>
      </c>
      <c r="C21">
        <v>0.88</v>
      </c>
      <c r="D21">
        <v>0.25369999999999998</v>
      </c>
      <c r="E21">
        <v>6</v>
      </c>
      <c r="F21">
        <v>31</v>
      </c>
      <c r="G21">
        <v>37</v>
      </c>
    </row>
    <row r="22" spans="1:7" x14ac:dyDescent="0.3">
      <c r="A22">
        <v>21</v>
      </c>
      <c r="B22">
        <v>0.40910000000000002</v>
      </c>
      <c r="C22">
        <v>0.87</v>
      </c>
      <c r="D22">
        <v>0.25369999999999998</v>
      </c>
      <c r="E22">
        <v>11</v>
      </c>
      <c r="F22">
        <v>25</v>
      </c>
      <c r="G22">
        <v>36</v>
      </c>
    </row>
    <row r="23" spans="1:7" x14ac:dyDescent="0.3">
      <c r="A23">
        <v>22</v>
      </c>
      <c r="B23">
        <v>0.40910000000000002</v>
      </c>
      <c r="C23">
        <v>0.87</v>
      </c>
      <c r="D23">
        <v>0.19400000000000001</v>
      </c>
      <c r="E23">
        <v>3</v>
      </c>
      <c r="F23">
        <v>31</v>
      </c>
      <c r="G23">
        <v>34</v>
      </c>
    </row>
    <row r="24" spans="1:7" x14ac:dyDescent="0.3">
      <c r="A24">
        <v>23</v>
      </c>
      <c r="B24">
        <v>0.40910000000000002</v>
      </c>
      <c r="C24">
        <v>0.94</v>
      </c>
      <c r="D24">
        <v>0.22389999999999999</v>
      </c>
      <c r="E24">
        <v>11</v>
      </c>
      <c r="F24">
        <v>17</v>
      </c>
      <c r="G24">
        <v>28</v>
      </c>
    </row>
    <row r="25" spans="1:7" x14ac:dyDescent="0.3">
      <c r="A25">
        <v>24</v>
      </c>
      <c r="B25">
        <v>0.2006</v>
      </c>
      <c r="C25">
        <v>0.88</v>
      </c>
      <c r="D25">
        <v>0.29849999999999999</v>
      </c>
      <c r="E25">
        <v>15</v>
      </c>
      <c r="F25">
        <v>24</v>
      </c>
      <c r="G25">
        <v>39</v>
      </c>
    </row>
    <row r="26" spans="1:7" x14ac:dyDescent="0.3">
      <c r="A26">
        <v>25</v>
      </c>
      <c r="B26">
        <v>0.45450000000000002</v>
      </c>
      <c r="C26">
        <v>0.88</v>
      </c>
      <c r="D26">
        <v>0.29849999999999999</v>
      </c>
      <c r="E26">
        <v>4</v>
      </c>
      <c r="F26">
        <v>13</v>
      </c>
      <c r="G26">
        <v>17</v>
      </c>
    </row>
    <row r="27" spans="1:7" x14ac:dyDescent="0.3">
      <c r="A27">
        <v>26</v>
      </c>
      <c r="B27">
        <v>0.43940000000000001</v>
      </c>
      <c r="C27">
        <v>0.94</v>
      </c>
      <c r="D27">
        <v>0.25369999999999998</v>
      </c>
      <c r="E27">
        <v>1</v>
      </c>
      <c r="F27">
        <v>16</v>
      </c>
      <c r="G27">
        <v>17</v>
      </c>
    </row>
    <row r="28" spans="1:7" x14ac:dyDescent="0.3">
      <c r="A28">
        <v>27</v>
      </c>
      <c r="B28">
        <v>0.42420000000000002</v>
      </c>
      <c r="C28">
        <v>1</v>
      </c>
      <c r="D28">
        <v>0.28360000000000002</v>
      </c>
      <c r="E28">
        <v>1</v>
      </c>
      <c r="F28">
        <v>8</v>
      </c>
      <c r="G28">
        <v>9</v>
      </c>
    </row>
    <row r="29" spans="1:7" x14ac:dyDescent="0.3">
      <c r="A29">
        <v>28</v>
      </c>
      <c r="B29">
        <v>0.45450000000000002</v>
      </c>
      <c r="C29">
        <v>0.94</v>
      </c>
      <c r="D29">
        <v>0.19400000000000001</v>
      </c>
      <c r="E29">
        <v>2</v>
      </c>
      <c r="F29">
        <v>4</v>
      </c>
      <c r="G29">
        <v>6</v>
      </c>
    </row>
    <row r="30" spans="1:7" x14ac:dyDescent="0.3">
      <c r="A30">
        <v>29</v>
      </c>
      <c r="B30">
        <v>0.2006</v>
      </c>
      <c r="C30">
        <v>0.94</v>
      </c>
      <c r="D30">
        <v>0.19400000000000001</v>
      </c>
      <c r="E30">
        <v>2</v>
      </c>
      <c r="F30">
        <v>1</v>
      </c>
      <c r="G30">
        <v>3</v>
      </c>
    </row>
    <row r="31" spans="1:7" x14ac:dyDescent="0.3">
      <c r="A31">
        <v>30</v>
      </c>
      <c r="B31">
        <v>0.42420000000000002</v>
      </c>
      <c r="C31">
        <v>0.77</v>
      </c>
      <c r="D31">
        <v>0.29849999999999999</v>
      </c>
      <c r="E31">
        <v>0</v>
      </c>
      <c r="F31">
        <v>2</v>
      </c>
      <c r="G31">
        <v>2</v>
      </c>
    </row>
    <row r="32" spans="1:7" x14ac:dyDescent="0.3">
      <c r="A32">
        <v>31</v>
      </c>
      <c r="B32">
        <v>0.40910000000000002</v>
      </c>
      <c r="C32">
        <v>0.76</v>
      </c>
      <c r="D32">
        <v>0.19400000000000001</v>
      </c>
      <c r="E32">
        <v>0</v>
      </c>
      <c r="F32">
        <v>1</v>
      </c>
      <c r="G32">
        <v>1</v>
      </c>
    </row>
    <row r="33" spans="1:7" x14ac:dyDescent="0.3">
      <c r="A33">
        <v>32</v>
      </c>
      <c r="B33">
        <v>0.40910000000000002</v>
      </c>
      <c r="C33">
        <v>0.71</v>
      </c>
      <c r="D33">
        <v>0.22389999999999999</v>
      </c>
      <c r="E33">
        <v>0</v>
      </c>
      <c r="F33">
        <v>8</v>
      </c>
      <c r="G33">
        <v>8</v>
      </c>
    </row>
    <row r="34" spans="1:7" x14ac:dyDescent="0.3">
      <c r="A34">
        <v>33</v>
      </c>
      <c r="B34">
        <v>0.2006</v>
      </c>
      <c r="C34">
        <v>0.76</v>
      </c>
      <c r="D34">
        <v>0.22389999999999999</v>
      </c>
      <c r="E34">
        <v>1</v>
      </c>
      <c r="F34">
        <v>19</v>
      </c>
      <c r="G34">
        <v>20</v>
      </c>
    </row>
    <row r="35" spans="1:7" x14ac:dyDescent="0.3">
      <c r="A35">
        <v>34</v>
      </c>
      <c r="B35">
        <v>0.34849999999999998</v>
      </c>
      <c r="C35">
        <v>0.81</v>
      </c>
      <c r="D35">
        <v>0.22389999999999999</v>
      </c>
      <c r="E35">
        <v>7</v>
      </c>
      <c r="F35">
        <v>46</v>
      </c>
      <c r="G35">
        <v>53</v>
      </c>
    </row>
    <row r="36" spans="1:7" x14ac:dyDescent="0.3">
      <c r="A36">
        <v>35</v>
      </c>
      <c r="B36">
        <v>0.33329999999999999</v>
      </c>
      <c r="C36">
        <v>0.71</v>
      </c>
      <c r="D36">
        <v>0.25369999999999998</v>
      </c>
      <c r="E36">
        <v>16</v>
      </c>
      <c r="F36">
        <v>54</v>
      </c>
      <c r="G36">
        <v>70</v>
      </c>
    </row>
    <row r="37" spans="1:7" x14ac:dyDescent="0.3">
      <c r="A37">
        <v>36</v>
      </c>
      <c r="B37">
        <v>0.33329999999999999</v>
      </c>
      <c r="C37">
        <v>0.66</v>
      </c>
      <c r="D37">
        <v>0.29849999999999999</v>
      </c>
      <c r="E37">
        <v>20</v>
      </c>
      <c r="F37">
        <v>73</v>
      </c>
      <c r="G37">
        <v>93</v>
      </c>
    </row>
    <row r="38" spans="1:7" x14ac:dyDescent="0.3">
      <c r="A38">
        <v>37</v>
      </c>
      <c r="B38">
        <v>0.34849999999999998</v>
      </c>
      <c r="C38">
        <v>0.66</v>
      </c>
      <c r="D38">
        <v>0.1343</v>
      </c>
      <c r="E38">
        <v>11</v>
      </c>
      <c r="F38">
        <v>64</v>
      </c>
      <c r="G38">
        <v>75</v>
      </c>
    </row>
    <row r="39" spans="1:7" x14ac:dyDescent="0.3">
      <c r="A39">
        <v>38</v>
      </c>
      <c r="B39">
        <v>0.2006</v>
      </c>
      <c r="C39">
        <v>0.76</v>
      </c>
      <c r="D39">
        <v>0.19400000000000001</v>
      </c>
      <c r="E39">
        <v>4</v>
      </c>
      <c r="F39">
        <v>55</v>
      </c>
      <c r="G39">
        <v>59</v>
      </c>
    </row>
    <row r="40" spans="1:7" x14ac:dyDescent="0.3">
      <c r="A40">
        <v>39</v>
      </c>
      <c r="B40">
        <v>0.33329999999999999</v>
      </c>
      <c r="C40">
        <v>0.81</v>
      </c>
      <c r="D40">
        <v>0.16420000000000001</v>
      </c>
      <c r="E40">
        <v>19</v>
      </c>
      <c r="F40">
        <v>55</v>
      </c>
      <c r="G40">
        <v>74</v>
      </c>
    </row>
    <row r="41" spans="1:7" x14ac:dyDescent="0.3">
      <c r="A41">
        <v>40</v>
      </c>
      <c r="B41">
        <v>0.33329999999999999</v>
      </c>
      <c r="C41">
        <v>0.71</v>
      </c>
      <c r="D41">
        <v>0.16420000000000001</v>
      </c>
      <c r="E41">
        <v>9</v>
      </c>
      <c r="F41">
        <v>67</v>
      </c>
      <c r="G41">
        <v>76</v>
      </c>
    </row>
    <row r="42" spans="1:7" x14ac:dyDescent="0.3">
      <c r="A42">
        <v>41</v>
      </c>
      <c r="B42">
        <v>0.33329999999999999</v>
      </c>
      <c r="C42">
        <v>0.56999999999999995</v>
      </c>
      <c r="D42">
        <v>0.19400000000000001</v>
      </c>
      <c r="E42">
        <v>7</v>
      </c>
      <c r="F42">
        <v>58</v>
      </c>
      <c r="G42">
        <v>65</v>
      </c>
    </row>
    <row r="43" spans="1:7" x14ac:dyDescent="0.3">
      <c r="A43">
        <v>42</v>
      </c>
      <c r="B43">
        <v>0.33329999999999999</v>
      </c>
      <c r="C43">
        <v>0.46</v>
      </c>
      <c r="D43">
        <v>0.32840000000000003</v>
      </c>
      <c r="E43">
        <v>10</v>
      </c>
      <c r="F43">
        <v>43</v>
      </c>
      <c r="G43">
        <v>53</v>
      </c>
    </row>
    <row r="44" spans="1:7" x14ac:dyDescent="0.3">
      <c r="A44">
        <v>43</v>
      </c>
      <c r="B44">
        <v>0.28789999999999999</v>
      </c>
      <c r="C44">
        <v>0.42</v>
      </c>
      <c r="D44">
        <v>0.44779999999999998</v>
      </c>
      <c r="E44">
        <v>1</v>
      </c>
      <c r="F44">
        <v>29</v>
      </c>
      <c r="G44">
        <v>30</v>
      </c>
    </row>
    <row r="45" spans="1:7" x14ac:dyDescent="0.3">
      <c r="A45">
        <v>44</v>
      </c>
      <c r="B45">
        <v>0.2006</v>
      </c>
      <c r="C45">
        <v>0.39</v>
      </c>
      <c r="D45">
        <v>0.35820000000000002</v>
      </c>
      <c r="E45">
        <v>5</v>
      </c>
      <c r="F45">
        <v>17</v>
      </c>
      <c r="G45">
        <v>22</v>
      </c>
    </row>
    <row r="46" spans="1:7" x14ac:dyDescent="0.3">
      <c r="A46">
        <v>45</v>
      </c>
      <c r="B46">
        <v>0.2273</v>
      </c>
      <c r="C46">
        <v>0.44</v>
      </c>
      <c r="D46">
        <v>0.32840000000000003</v>
      </c>
      <c r="E46">
        <v>11</v>
      </c>
      <c r="F46">
        <v>20</v>
      </c>
      <c r="G46">
        <v>31</v>
      </c>
    </row>
    <row r="47" spans="1:7" x14ac:dyDescent="0.3">
      <c r="A47">
        <v>46</v>
      </c>
      <c r="B47">
        <v>0.21210000000000001</v>
      </c>
      <c r="C47">
        <v>0.44</v>
      </c>
      <c r="D47">
        <v>0.29849999999999999</v>
      </c>
      <c r="E47">
        <v>0</v>
      </c>
      <c r="F47">
        <v>9</v>
      </c>
      <c r="G47">
        <v>9</v>
      </c>
    </row>
    <row r="48" spans="1:7" x14ac:dyDescent="0.3">
      <c r="A48">
        <v>47</v>
      </c>
      <c r="B48">
        <v>0.2273</v>
      </c>
      <c r="C48">
        <v>0.47</v>
      </c>
      <c r="D48">
        <v>0.16420000000000001</v>
      </c>
      <c r="E48">
        <v>0</v>
      </c>
      <c r="F48">
        <v>8</v>
      </c>
      <c r="G48">
        <v>8</v>
      </c>
    </row>
    <row r="49" spans="1:7" x14ac:dyDescent="0.3">
      <c r="A49">
        <v>48</v>
      </c>
      <c r="B49">
        <v>0.19700000000000001</v>
      </c>
      <c r="C49">
        <v>0.44</v>
      </c>
      <c r="D49">
        <v>0.35820000000000002</v>
      </c>
      <c r="E49">
        <v>0</v>
      </c>
      <c r="F49">
        <v>5</v>
      </c>
      <c r="G49">
        <v>5</v>
      </c>
    </row>
    <row r="50" spans="1:7" x14ac:dyDescent="0.3">
      <c r="A50">
        <v>49</v>
      </c>
      <c r="B50">
        <v>0.2006</v>
      </c>
      <c r="C50">
        <v>0.44</v>
      </c>
      <c r="D50">
        <v>0.41789999999999999</v>
      </c>
      <c r="E50">
        <v>0</v>
      </c>
      <c r="F50">
        <v>2</v>
      </c>
      <c r="G50">
        <v>2</v>
      </c>
    </row>
    <row r="51" spans="1:7" x14ac:dyDescent="0.3">
      <c r="A51">
        <v>50</v>
      </c>
      <c r="B51">
        <v>0.13639999999999999</v>
      </c>
      <c r="C51">
        <v>0.47</v>
      </c>
      <c r="D51">
        <v>0.3881</v>
      </c>
      <c r="E51">
        <v>0</v>
      </c>
      <c r="F51">
        <v>1</v>
      </c>
      <c r="G51">
        <v>1</v>
      </c>
    </row>
    <row r="52" spans="1:7" x14ac:dyDescent="0.3">
      <c r="A52">
        <v>51</v>
      </c>
      <c r="B52">
        <v>0.13639999999999999</v>
      </c>
      <c r="C52">
        <v>0.47</v>
      </c>
      <c r="D52">
        <v>0.28360000000000002</v>
      </c>
      <c r="E52">
        <v>0</v>
      </c>
      <c r="F52">
        <v>3</v>
      </c>
      <c r="G52">
        <v>3</v>
      </c>
    </row>
    <row r="53" spans="1:7" x14ac:dyDescent="0.3">
      <c r="A53">
        <v>52</v>
      </c>
      <c r="B53">
        <v>0.1061</v>
      </c>
      <c r="C53">
        <v>0.5</v>
      </c>
      <c r="D53">
        <v>0.3881</v>
      </c>
      <c r="E53">
        <v>0</v>
      </c>
      <c r="F53">
        <v>30</v>
      </c>
      <c r="G53">
        <v>30</v>
      </c>
    </row>
    <row r="54" spans="1:7" x14ac:dyDescent="0.3">
      <c r="A54">
        <v>53</v>
      </c>
      <c r="B54">
        <v>0.13639999999999999</v>
      </c>
      <c r="C54">
        <v>0.5</v>
      </c>
      <c r="D54">
        <v>0.19400000000000001</v>
      </c>
      <c r="E54">
        <v>1</v>
      </c>
      <c r="F54">
        <v>63</v>
      </c>
      <c r="G54">
        <v>64</v>
      </c>
    </row>
    <row r="55" spans="1:7" x14ac:dyDescent="0.3">
      <c r="A55">
        <v>54</v>
      </c>
      <c r="B55">
        <v>0.1212</v>
      </c>
      <c r="C55">
        <v>0.5</v>
      </c>
      <c r="D55">
        <v>0.28360000000000002</v>
      </c>
      <c r="E55">
        <v>1</v>
      </c>
      <c r="F55">
        <v>153</v>
      </c>
      <c r="G55">
        <v>154</v>
      </c>
    </row>
    <row r="56" spans="1:7" x14ac:dyDescent="0.3">
      <c r="A56">
        <v>55</v>
      </c>
      <c r="B56">
        <v>0.13639999999999999</v>
      </c>
      <c r="C56">
        <v>0.43</v>
      </c>
      <c r="D56">
        <v>0.3881</v>
      </c>
      <c r="E56">
        <v>7</v>
      </c>
      <c r="F56">
        <v>81</v>
      </c>
      <c r="G56">
        <v>88</v>
      </c>
    </row>
    <row r="57" spans="1:7" x14ac:dyDescent="0.3">
      <c r="A57">
        <v>56</v>
      </c>
      <c r="B57">
        <v>0.16669999999999999</v>
      </c>
      <c r="C57">
        <v>0.43</v>
      </c>
      <c r="D57">
        <v>0.25369999999999998</v>
      </c>
      <c r="E57">
        <v>11</v>
      </c>
      <c r="F57">
        <v>33</v>
      </c>
      <c r="G57">
        <v>44</v>
      </c>
    </row>
    <row r="58" spans="1:7" x14ac:dyDescent="0.3">
      <c r="A58">
        <v>57</v>
      </c>
      <c r="B58">
        <v>0.18179999999999999</v>
      </c>
      <c r="C58">
        <v>0.4</v>
      </c>
      <c r="D58">
        <v>0.32840000000000003</v>
      </c>
      <c r="E58">
        <v>10</v>
      </c>
      <c r="F58">
        <v>41</v>
      </c>
      <c r="G58">
        <v>51</v>
      </c>
    </row>
    <row r="59" spans="1:7" x14ac:dyDescent="0.3">
      <c r="A59">
        <v>58</v>
      </c>
      <c r="B59">
        <v>0.21210000000000001</v>
      </c>
      <c r="C59">
        <v>0.35</v>
      </c>
      <c r="D59">
        <v>0.29849999999999999</v>
      </c>
      <c r="E59">
        <v>13</v>
      </c>
      <c r="F59">
        <v>48</v>
      </c>
      <c r="G59">
        <v>61</v>
      </c>
    </row>
    <row r="60" spans="1:7" x14ac:dyDescent="0.3">
      <c r="A60">
        <v>59</v>
      </c>
      <c r="B60">
        <v>0.2006</v>
      </c>
      <c r="C60">
        <v>0.35</v>
      </c>
      <c r="D60">
        <v>0.28360000000000002</v>
      </c>
      <c r="E60">
        <v>8</v>
      </c>
      <c r="F60">
        <v>53</v>
      </c>
      <c r="G60">
        <v>61</v>
      </c>
    </row>
    <row r="61" spans="1:7" x14ac:dyDescent="0.3">
      <c r="A61">
        <v>60</v>
      </c>
      <c r="B61">
        <v>0.2424</v>
      </c>
      <c r="C61">
        <v>0.3</v>
      </c>
      <c r="D61">
        <v>0.28360000000000002</v>
      </c>
      <c r="E61">
        <v>11</v>
      </c>
      <c r="F61">
        <v>66</v>
      </c>
      <c r="G61">
        <v>77</v>
      </c>
    </row>
    <row r="62" spans="1:7" x14ac:dyDescent="0.3">
      <c r="A62">
        <v>61</v>
      </c>
      <c r="B62">
        <v>0.2424</v>
      </c>
      <c r="C62">
        <v>0.3</v>
      </c>
      <c r="D62">
        <v>0.25369999999999998</v>
      </c>
      <c r="E62">
        <v>14</v>
      </c>
      <c r="F62">
        <v>58</v>
      </c>
      <c r="G62">
        <v>72</v>
      </c>
    </row>
    <row r="63" spans="1:7" x14ac:dyDescent="0.3">
      <c r="A63">
        <v>62</v>
      </c>
      <c r="B63">
        <v>0.2424</v>
      </c>
      <c r="C63">
        <v>0.3</v>
      </c>
      <c r="D63">
        <v>0.25369999999999998</v>
      </c>
      <c r="E63">
        <v>9</v>
      </c>
      <c r="F63">
        <v>67</v>
      </c>
      <c r="G63">
        <v>76</v>
      </c>
    </row>
    <row r="64" spans="1:7" x14ac:dyDescent="0.3">
      <c r="A64">
        <v>63</v>
      </c>
      <c r="B64">
        <v>0.2273</v>
      </c>
      <c r="C64">
        <v>0.3</v>
      </c>
      <c r="D64">
        <v>0.22389999999999999</v>
      </c>
      <c r="E64">
        <v>11</v>
      </c>
      <c r="F64">
        <v>146</v>
      </c>
      <c r="G64">
        <v>157</v>
      </c>
    </row>
    <row r="65" spans="1:7" x14ac:dyDescent="0.3">
      <c r="A65">
        <v>64</v>
      </c>
      <c r="B65">
        <v>0.2576</v>
      </c>
      <c r="C65">
        <v>0.32</v>
      </c>
      <c r="D65">
        <v>0.1045</v>
      </c>
      <c r="E65">
        <v>9</v>
      </c>
      <c r="F65">
        <v>148</v>
      </c>
      <c r="G65">
        <v>157</v>
      </c>
    </row>
    <row r="66" spans="1:7" x14ac:dyDescent="0.3">
      <c r="A66">
        <v>65</v>
      </c>
      <c r="B66">
        <v>0.2576</v>
      </c>
      <c r="C66">
        <v>0.47</v>
      </c>
      <c r="D66">
        <v>0</v>
      </c>
      <c r="E66">
        <v>8</v>
      </c>
      <c r="F66">
        <v>102</v>
      </c>
      <c r="G66">
        <v>110</v>
      </c>
    </row>
    <row r="67" spans="1:7" x14ac:dyDescent="0.3">
      <c r="A67">
        <v>66</v>
      </c>
      <c r="B67">
        <v>0.2006</v>
      </c>
      <c r="C67">
        <v>0.47</v>
      </c>
      <c r="D67">
        <v>0.1045</v>
      </c>
      <c r="E67">
        <v>3</v>
      </c>
      <c r="F67">
        <v>49</v>
      </c>
      <c r="G67">
        <v>52</v>
      </c>
    </row>
    <row r="68" spans="1:7" x14ac:dyDescent="0.3">
      <c r="A68">
        <v>67</v>
      </c>
      <c r="B68">
        <v>0.19700000000000001</v>
      </c>
      <c r="C68">
        <v>0.64</v>
      </c>
      <c r="D68">
        <v>0.1343</v>
      </c>
      <c r="E68">
        <v>3</v>
      </c>
      <c r="F68">
        <v>49</v>
      </c>
      <c r="G68">
        <v>52</v>
      </c>
    </row>
    <row r="69" spans="1:7" x14ac:dyDescent="0.3">
      <c r="A69">
        <v>68</v>
      </c>
      <c r="B69">
        <v>0.1515</v>
      </c>
      <c r="C69">
        <v>0.69</v>
      </c>
      <c r="D69">
        <v>0.1343</v>
      </c>
      <c r="E69">
        <v>0</v>
      </c>
      <c r="F69">
        <v>20</v>
      </c>
      <c r="G69">
        <v>20</v>
      </c>
    </row>
    <row r="70" spans="1:7" x14ac:dyDescent="0.3">
      <c r="A70">
        <v>69</v>
      </c>
      <c r="B70">
        <v>0.21210000000000001</v>
      </c>
      <c r="C70">
        <v>0.55000000000000004</v>
      </c>
      <c r="D70">
        <v>0.1045</v>
      </c>
      <c r="E70">
        <v>1</v>
      </c>
      <c r="F70">
        <v>11</v>
      </c>
      <c r="G70">
        <v>12</v>
      </c>
    </row>
    <row r="71" spans="1:7" x14ac:dyDescent="0.3">
      <c r="A71">
        <v>70</v>
      </c>
      <c r="B71">
        <v>0.2006</v>
      </c>
      <c r="C71">
        <v>0.55000000000000004</v>
      </c>
      <c r="D71">
        <v>0.1045</v>
      </c>
      <c r="E71">
        <v>0</v>
      </c>
      <c r="F71">
        <v>5</v>
      </c>
      <c r="G71">
        <v>5</v>
      </c>
    </row>
    <row r="72" spans="1:7" x14ac:dyDescent="0.3">
      <c r="A72">
        <v>71</v>
      </c>
      <c r="B72">
        <v>0.18179999999999999</v>
      </c>
      <c r="C72">
        <v>0.59</v>
      </c>
      <c r="D72">
        <v>0.1045</v>
      </c>
      <c r="E72">
        <v>0</v>
      </c>
      <c r="F72">
        <v>2</v>
      </c>
      <c r="G72">
        <v>2</v>
      </c>
    </row>
    <row r="73" spans="1:7" x14ac:dyDescent="0.3">
      <c r="A73">
        <v>72</v>
      </c>
      <c r="B73">
        <v>0.1515</v>
      </c>
      <c r="C73">
        <v>0.63</v>
      </c>
      <c r="D73">
        <v>0.1343</v>
      </c>
      <c r="E73">
        <v>0</v>
      </c>
      <c r="F73">
        <v>1</v>
      </c>
      <c r="G73">
        <v>1</v>
      </c>
    </row>
    <row r="74" spans="1:7" x14ac:dyDescent="0.3">
      <c r="A74">
        <v>73</v>
      </c>
      <c r="B74">
        <v>0.18179999999999999</v>
      </c>
      <c r="C74">
        <v>0.63</v>
      </c>
      <c r="D74">
        <v>8.9599999999999999E-2</v>
      </c>
      <c r="E74">
        <v>0</v>
      </c>
      <c r="F74">
        <v>2</v>
      </c>
      <c r="G74">
        <v>2</v>
      </c>
    </row>
    <row r="75" spans="1:7" x14ac:dyDescent="0.3">
      <c r="A75">
        <v>74</v>
      </c>
      <c r="B75">
        <v>0.1515</v>
      </c>
      <c r="C75">
        <v>0.68</v>
      </c>
      <c r="D75">
        <v>0.1045</v>
      </c>
      <c r="E75">
        <v>0</v>
      </c>
      <c r="F75">
        <v>4</v>
      </c>
      <c r="G75">
        <v>4</v>
      </c>
    </row>
    <row r="76" spans="1:7" x14ac:dyDescent="0.3">
      <c r="A76">
        <v>75</v>
      </c>
      <c r="B76">
        <v>0.1515</v>
      </c>
      <c r="C76">
        <v>0.74</v>
      </c>
      <c r="D76">
        <v>0.1045</v>
      </c>
      <c r="E76">
        <v>0</v>
      </c>
      <c r="F76">
        <v>36</v>
      </c>
      <c r="G76">
        <v>36</v>
      </c>
    </row>
    <row r="77" spans="1:7" x14ac:dyDescent="0.3">
      <c r="A77">
        <v>76</v>
      </c>
      <c r="B77">
        <v>0.1515</v>
      </c>
      <c r="C77">
        <v>0.74</v>
      </c>
      <c r="D77">
        <v>0.1343</v>
      </c>
      <c r="E77">
        <v>2</v>
      </c>
      <c r="F77">
        <v>92</v>
      </c>
      <c r="G77">
        <v>94</v>
      </c>
    </row>
    <row r="78" spans="1:7" x14ac:dyDescent="0.3">
      <c r="A78">
        <v>77</v>
      </c>
      <c r="B78">
        <v>0.1515</v>
      </c>
      <c r="C78">
        <v>0.69</v>
      </c>
      <c r="D78">
        <v>0.16420000000000001</v>
      </c>
      <c r="E78">
        <v>2</v>
      </c>
      <c r="F78">
        <v>177</v>
      </c>
      <c r="G78">
        <v>179</v>
      </c>
    </row>
    <row r="79" spans="1:7" x14ac:dyDescent="0.3">
      <c r="A79">
        <v>78</v>
      </c>
      <c r="B79">
        <v>0.1515</v>
      </c>
      <c r="C79">
        <v>0.64</v>
      </c>
      <c r="D79">
        <v>0.22389999999999999</v>
      </c>
      <c r="E79">
        <v>2</v>
      </c>
      <c r="F79">
        <v>98</v>
      </c>
      <c r="G79">
        <v>100</v>
      </c>
    </row>
    <row r="80" spans="1:7" x14ac:dyDescent="0.3">
      <c r="A80">
        <v>79</v>
      </c>
      <c r="B80">
        <v>0.13639999999999999</v>
      </c>
      <c r="C80">
        <v>0.69</v>
      </c>
      <c r="D80">
        <v>0.32840000000000003</v>
      </c>
      <c r="E80">
        <v>5</v>
      </c>
      <c r="F80">
        <v>37</v>
      </c>
      <c r="G80">
        <v>42</v>
      </c>
    </row>
    <row r="81" spans="1:7" x14ac:dyDescent="0.3">
      <c r="A81">
        <v>80</v>
      </c>
      <c r="B81">
        <v>0.21210000000000001</v>
      </c>
      <c r="C81">
        <v>0.51</v>
      </c>
      <c r="D81">
        <v>0.29849999999999999</v>
      </c>
      <c r="E81">
        <v>7</v>
      </c>
      <c r="F81">
        <v>50</v>
      </c>
      <c r="G81">
        <v>57</v>
      </c>
    </row>
    <row r="82" spans="1:7" x14ac:dyDescent="0.3">
      <c r="A82">
        <v>81</v>
      </c>
      <c r="B82">
        <v>0.2273</v>
      </c>
      <c r="C82">
        <v>0.51</v>
      </c>
      <c r="D82">
        <v>0.16420000000000001</v>
      </c>
      <c r="E82">
        <v>12</v>
      </c>
      <c r="F82">
        <v>66</v>
      </c>
      <c r="G82">
        <v>78</v>
      </c>
    </row>
    <row r="83" spans="1:7" x14ac:dyDescent="0.3">
      <c r="A83">
        <v>82</v>
      </c>
      <c r="B83">
        <v>0.2273</v>
      </c>
      <c r="C83">
        <v>0.56000000000000005</v>
      </c>
      <c r="D83">
        <v>0.19400000000000001</v>
      </c>
      <c r="E83">
        <v>18</v>
      </c>
      <c r="F83">
        <v>79</v>
      </c>
      <c r="G83">
        <v>97</v>
      </c>
    </row>
    <row r="84" spans="1:7" x14ac:dyDescent="0.3">
      <c r="A84">
        <v>83</v>
      </c>
      <c r="B84">
        <v>0.2576</v>
      </c>
      <c r="C84">
        <v>0.52</v>
      </c>
      <c r="D84">
        <v>0.22389999999999999</v>
      </c>
      <c r="E84">
        <v>9</v>
      </c>
      <c r="F84">
        <v>54</v>
      </c>
      <c r="G84">
        <v>63</v>
      </c>
    </row>
    <row r="85" spans="1:7" x14ac:dyDescent="0.3">
      <c r="A85">
        <v>84</v>
      </c>
      <c r="B85">
        <v>0.2727</v>
      </c>
      <c r="C85">
        <v>0.52</v>
      </c>
      <c r="D85">
        <v>0.25369999999999998</v>
      </c>
      <c r="E85">
        <v>17</v>
      </c>
      <c r="F85">
        <v>48</v>
      </c>
      <c r="G85">
        <v>65</v>
      </c>
    </row>
    <row r="86" spans="1:7" x14ac:dyDescent="0.3">
      <c r="A86">
        <v>85</v>
      </c>
      <c r="B86">
        <v>0.28789999999999999</v>
      </c>
      <c r="C86">
        <v>0.49</v>
      </c>
      <c r="D86">
        <v>0.25369999999999998</v>
      </c>
      <c r="E86">
        <v>15</v>
      </c>
      <c r="F86">
        <v>68</v>
      </c>
      <c r="G86">
        <v>83</v>
      </c>
    </row>
    <row r="87" spans="1:7" x14ac:dyDescent="0.3">
      <c r="A87">
        <v>86</v>
      </c>
      <c r="B87">
        <v>0.2727</v>
      </c>
      <c r="C87">
        <v>0.48</v>
      </c>
      <c r="D87">
        <v>0.22389999999999999</v>
      </c>
      <c r="E87">
        <v>10</v>
      </c>
      <c r="F87">
        <v>202</v>
      </c>
      <c r="G87">
        <v>212</v>
      </c>
    </row>
    <row r="88" spans="1:7" x14ac:dyDescent="0.3">
      <c r="A88">
        <v>87</v>
      </c>
      <c r="B88">
        <v>0.2576</v>
      </c>
      <c r="C88">
        <v>0.48</v>
      </c>
      <c r="D88">
        <v>0.19400000000000001</v>
      </c>
      <c r="E88">
        <v>3</v>
      </c>
      <c r="F88">
        <v>179</v>
      </c>
      <c r="G88">
        <v>182</v>
      </c>
    </row>
    <row r="89" spans="1:7" x14ac:dyDescent="0.3">
      <c r="A89">
        <v>88</v>
      </c>
      <c r="B89">
        <v>0.2576</v>
      </c>
      <c r="C89">
        <v>0.48</v>
      </c>
      <c r="D89">
        <v>0.1045</v>
      </c>
      <c r="E89">
        <v>2</v>
      </c>
      <c r="F89">
        <v>110</v>
      </c>
      <c r="G89">
        <v>112</v>
      </c>
    </row>
    <row r="90" spans="1:7" x14ac:dyDescent="0.3">
      <c r="A90">
        <v>89</v>
      </c>
      <c r="B90">
        <v>0.2576</v>
      </c>
      <c r="C90">
        <v>0.48</v>
      </c>
      <c r="D90">
        <v>0.1045</v>
      </c>
      <c r="E90">
        <v>1</v>
      </c>
      <c r="F90">
        <v>53</v>
      </c>
      <c r="G90">
        <v>54</v>
      </c>
    </row>
    <row r="91" spans="1:7" x14ac:dyDescent="0.3">
      <c r="A91">
        <v>90</v>
      </c>
      <c r="B91">
        <v>0.2727</v>
      </c>
      <c r="C91">
        <v>0.64</v>
      </c>
      <c r="D91">
        <v>0</v>
      </c>
      <c r="E91">
        <v>0</v>
      </c>
      <c r="F91">
        <v>48</v>
      </c>
      <c r="G91">
        <v>48</v>
      </c>
    </row>
    <row r="92" spans="1:7" x14ac:dyDescent="0.3">
      <c r="A92">
        <v>91</v>
      </c>
      <c r="B92">
        <v>0.2576</v>
      </c>
      <c r="C92">
        <v>0.64</v>
      </c>
      <c r="D92">
        <v>8.9599999999999999E-2</v>
      </c>
      <c r="E92">
        <v>1</v>
      </c>
      <c r="F92">
        <v>34</v>
      </c>
      <c r="G92">
        <v>35</v>
      </c>
    </row>
    <row r="93" spans="1:7" x14ac:dyDescent="0.3">
      <c r="A93">
        <v>92</v>
      </c>
      <c r="B93">
        <v>0.2273</v>
      </c>
      <c r="C93">
        <v>0.69</v>
      </c>
      <c r="D93">
        <v>8.9599999999999999E-2</v>
      </c>
      <c r="E93">
        <v>2</v>
      </c>
      <c r="F93">
        <v>9</v>
      </c>
      <c r="G93">
        <v>11</v>
      </c>
    </row>
    <row r="94" spans="1:7" x14ac:dyDescent="0.3">
      <c r="A94">
        <v>93</v>
      </c>
      <c r="B94">
        <v>0.2576</v>
      </c>
      <c r="C94">
        <v>0.64</v>
      </c>
      <c r="D94">
        <v>0</v>
      </c>
      <c r="E94">
        <v>0</v>
      </c>
      <c r="F94">
        <v>6</v>
      </c>
      <c r="G94">
        <v>6</v>
      </c>
    </row>
    <row r="95" spans="1:7" x14ac:dyDescent="0.3">
      <c r="A95">
        <v>94</v>
      </c>
      <c r="B95">
        <v>0.19700000000000001</v>
      </c>
      <c r="C95">
        <v>0.74</v>
      </c>
      <c r="D95">
        <v>8.9599999999999999E-2</v>
      </c>
      <c r="E95">
        <v>0</v>
      </c>
      <c r="F95">
        <v>6</v>
      </c>
      <c r="G95">
        <v>6</v>
      </c>
    </row>
    <row r="96" spans="1:7" x14ac:dyDescent="0.3">
      <c r="A96">
        <v>95</v>
      </c>
      <c r="B96">
        <v>0.19700000000000001</v>
      </c>
      <c r="C96">
        <v>0.74</v>
      </c>
      <c r="D96">
        <v>8.9599999999999999E-2</v>
      </c>
      <c r="E96">
        <v>0</v>
      </c>
      <c r="F96">
        <v>2</v>
      </c>
      <c r="G96">
        <v>2</v>
      </c>
    </row>
    <row r="97" spans="1:7" x14ac:dyDescent="0.3">
      <c r="A97">
        <v>96</v>
      </c>
      <c r="B97">
        <v>0.2273</v>
      </c>
      <c r="C97">
        <v>0.48</v>
      </c>
      <c r="D97">
        <v>0.22389999999999999</v>
      </c>
      <c r="E97">
        <v>0</v>
      </c>
      <c r="F97">
        <v>2</v>
      </c>
      <c r="G97">
        <v>2</v>
      </c>
    </row>
    <row r="98" spans="1:7" x14ac:dyDescent="0.3">
      <c r="A98">
        <v>97</v>
      </c>
      <c r="B98">
        <v>0.2273</v>
      </c>
      <c r="C98">
        <v>0.47</v>
      </c>
      <c r="D98">
        <v>0.16420000000000001</v>
      </c>
      <c r="E98">
        <v>0</v>
      </c>
      <c r="F98">
        <v>3</v>
      </c>
      <c r="G98">
        <v>3</v>
      </c>
    </row>
    <row r="99" spans="1:7" x14ac:dyDescent="0.3">
      <c r="A99">
        <v>98</v>
      </c>
      <c r="B99">
        <v>0.19700000000000001</v>
      </c>
      <c r="C99">
        <v>0.47</v>
      </c>
      <c r="D99">
        <v>0.22389999999999999</v>
      </c>
      <c r="E99">
        <v>0</v>
      </c>
      <c r="F99">
        <v>33</v>
      </c>
      <c r="G99">
        <v>33</v>
      </c>
    </row>
    <row r="100" spans="1:7" x14ac:dyDescent="0.3">
      <c r="A100">
        <v>99</v>
      </c>
      <c r="B100">
        <v>0.18179999999999999</v>
      </c>
      <c r="C100">
        <v>0.43</v>
      </c>
      <c r="D100">
        <v>0.19400000000000001</v>
      </c>
      <c r="E100">
        <v>1</v>
      </c>
      <c r="F100">
        <v>87</v>
      </c>
      <c r="G100">
        <v>88</v>
      </c>
    </row>
    <row r="101" spans="1:7" x14ac:dyDescent="0.3">
      <c r="A101">
        <v>100</v>
      </c>
      <c r="B101">
        <v>0.18179999999999999</v>
      </c>
      <c r="C101">
        <v>0.4</v>
      </c>
      <c r="D101">
        <v>0.29849999999999999</v>
      </c>
      <c r="E101">
        <v>3</v>
      </c>
      <c r="F101">
        <v>192</v>
      </c>
      <c r="G101">
        <v>195</v>
      </c>
    </row>
    <row r="102" spans="1:7" x14ac:dyDescent="0.3">
      <c r="A102">
        <v>101</v>
      </c>
      <c r="B102">
        <v>0.19700000000000001</v>
      </c>
      <c r="C102">
        <v>0.37</v>
      </c>
      <c r="D102">
        <v>0.32840000000000003</v>
      </c>
      <c r="E102">
        <v>6</v>
      </c>
      <c r="F102">
        <v>109</v>
      </c>
      <c r="G102">
        <v>115</v>
      </c>
    </row>
    <row r="103" spans="1:7" x14ac:dyDescent="0.3">
      <c r="A103">
        <v>102</v>
      </c>
      <c r="B103">
        <v>0.19700000000000001</v>
      </c>
      <c r="C103">
        <v>0.37</v>
      </c>
      <c r="D103">
        <v>0.32840000000000003</v>
      </c>
      <c r="E103">
        <v>4</v>
      </c>
      <c r="F103">
        <v>53</v>
      </c>
      <c r="G103">
        <v>57</v>
      </c>
    </row>
    <row r="104" spans="1:7" x14ac:dyDescent="0.3">
      <c r="A104">
        <v>103</v>
      </c>
      <c r="B104">
        <v>0.2273</v>
      </c>
      <c r="C104">
        <v>0.33</v>
      </c>
      <c r="D104">
        <v>0.32840000000000003</v>
      </c>
      <c r="E104">
        <v>12</v>
      </c>
      <c r="F104">
        <v>34</v>
      </c>
      <c r="G104">
        <v>46</v>
      </c>
    </row>
    <row r="105" spans="1:7" x14ac:dyDescent="0.3">
      <c r="A105">
        <v>104</v>
      </c>
      <c r="B105">
        <v>0.2273</v>
      </c>
      <c r="C105">
        <v>0.33</v>
      </c>
      <c r="D105">
        <v>0.32840000000000003</v>
      </c>
      <c r="E105">
        <v>5</v>
      </c>
      <c r="F105">
        <v>74</v>
      </c>
      <c r="G105">
        <v>79</v>
      </c>
    </row>
    <row r="106" spans="1:7" x14ac:dyDescent="0.3">
      <c r="A106">
        <v>105</v>
      </c>
      <c r="B106">
        <v>0.2576</v>
      </c>
      <c r="C106">
        <v>0.3</v>
      </c>
      <c r="D106">
        <v>0.29849999999999999</v>
      </c>
      <c r="E106">
        <v>6</v>
      </c>
      <c r="F106">
        <v>65</v>
      </c>
      <c r="G106">
        <v>71</v>
      </c>
    </row>
    <row r="107" spans="1:7" x14ac:dyDescent="0.3">
      <c r="A107">
        <v>106</v>
      </c>
      <c r="B107">
        <v>0.28789999999999999</v>
      </c>
      <c r="C107">
        <v>0.28000000000000003</v>
      </c>
      <c r="D107">
        <v>0.19400000000000001</v>
      </c>
      <c r="E107">
        <v>10</v>
      </c>
      <c r="F107">
        <v>52</v>
      </c>
      <c r="G107">
        <v>62</v>
      </c>
    </row>
    <row r="108" spans="1:7" x14ac:dyDescent="0.3">
      <c r="A108">
        <v>107</v>
      </c>
      <c r="B108">
        <v>0.28789999999999999</v>
      </c>
      <c r="C108">
        <v>0.28000000000000003</v>
      </c>
      <c r="D108">
        <v>0.19400000000000001</v>
      </c>
      <c r="E108">
        <v>7</v>
      </c>
      <c r="F108">
        <v>55</v>
      </c>
      <c r="G108">
        <v>62</v>
      </c>
    </row>
    <row r="109" spans="1:7" x14ac:dyDescent="0.3">
      <c r="A109">
        <v>108</v>
      </c>
      <c r="B109">
        <v>0.31819999999999998</v>
      </c>
      <c r="C109">
        <v>0.28000000000000003</v>
      </c>
      <c r="D109">
        <v>8.9599999999999999E-2</v>
      </c>
      <c r="E109">
        <v>4</v>
      </c>
      <c r="F109">
        <v>85</v>
      </c>
      <c r="G109">
        <v>89</v>
      </c>
    </row>
    <row r="110" spans="1:7" x14ac:dyDescent="0.3">
      <c r="A110">
        <v>109</v>
      </c>
      <c r="B110">
        <v>0.2273</v>
      </c>
      <c r="C110">
        <v>0.38</v>
      </c>
      <c r="D110">
        <v>0.19400000000000001</v>
      </c>
      <c r="E110">
        <v>4</v>
      </c>
      <c r="F110">
        <v>186</v>
      </c>
      <c r="G110">
        <v>190</v>
      </c>
    </row>
    <row r="111" spans="1:7" x14ac:dyDescent="0.3">
      <c r="A111">
        <v>110</v>
      </c>
      <c r="B111">
        <v>0.2424</v>
      </c>
      <c r="C111">
        <v>0.38</v>
      </c>
      <c r="D111">
        <v>0.1343</v>
      </c>
      <c r="E111">
        <v>3</v>
      </c>
      <c r="F111">
        <v>166</v>
      </c>
      <c r="G111">
        <v>169</v>
      </c>
    </row>
    <row r="112" spans="1:7" x14ac:dyDescent="0.3">
      <c r="A112">
        <v>111</v>
      </c>
      <c r="B112">
        <v>0.2576</v>
      </c>
      <c r="C112">
        <v>0.38</v>
      </c>
      <c r="D112">
        <v>0.1045</v>
      </c>
      <c r="E112">
        <v>5</v>
      </c>
      <c r="F112">
        <v>127</v>
      </c>
      <c r="G112">
        <v>132</v>
      </c>
    </row>
    <row r="113" spans="1:7" x14ac:dyDescent="0.3">
      <c r="A113">
        <v>112</v>
      </c>
      <c r="B113">
        <v>0.2273</v>
      </c>
      <c r="C113">
        <v>0.47</v>
      </c>
      <c r="D113">
        <v>0.16420000000000001</v>
      </c>
      <c r="E113">
        <v>7</v>
      </c>
      <c r="F113">
        <v>82</v>
      </c>
      <c r="G113">
        <v>89</v>
      </c>
    </row>
    <row r="114" spans="1:7" x14ac:dyDescent="0.3">
      <c r="A114">
        <v>113</v>
      </c>
      <c r="B114">
        <v>0.19700000000000001</v>
      </c>
      <c r="C114">
        <v>0.51</v>
      </c>
      <c r="D114">
        <v>0.19400000000000001</v>
      </c>
      <c r="E114">
        <v>3</v>
      </c>
      <c r="F114">
        <v>40</v>
      </c>
      <c r="G114">
        <v>43</v>
      </c>
    </row>
    <row r="115" spans="1:7" x14ac:dyDescent="0.3">
      <c r="A115">
        <v>114</v>
      </c>
      <c r="B115">
        <v>0.19700000000000001</v>
      </c>
      <c r="C115">
        <v>0.55000000000000004</v>
      </c>
      <c r="D115">
        <v>0.1343</v>
      </c>
      <c r="E115">
        <v>1</v>
      </c>
      <c r="F115">
        <v>41</v>
      </c>
      <c r="G115">
        <v>42</v>
      </c>
    </row>
    <row r="116" spans="1:7" x14ac:dyDescent="0.3">
      <c r="A116">
        <v>115</v>
      </c>
      <c r="B116">
        <v>0.2576</v>
      </c>
      <c r="C116">
        <v>0.47</v>
      </c>
      <c r="D116">
        <v>0</v>
      </c>
      <c r="E116">
        <v>1</v>
      </c>
      <c r="F116">
        <v>18</v>
      </c>
      <c r="G116">
        <v>19</v>
      </c>
    </row>
    <row r="117" spans="1:7" x14ac:dyDescent="0.3">
      <c r="A117">
        <v>116</v>
      </c>
      <c r="B117">
        <v>0.2424</v>
      </c>
      <c r="C117">
        <v>0.55000000000000004</v>
      </c>
      <c r="D117">
        <v>0</v>
      </c>
      <c r="E117">
        <v>0</v>
      </c>
      <c r="F117">
        <v>11</v>
      </c>
      <c r="G117">
        <v>11</v>
      </c>
    </row>
    <row r="118" spans="1:7" x14ac:dyDescent="0.3">
      <c r="A118">
        <v>117</v>
      </c>
      <c r="B118">
        <v>0.2273</v>
      </c>
      <c r="C118">
        <v>0.64</v>
      </c>
      <c r="D118">
        <v>0</v>
      </c>
      <c r="E118">
        <v>0</v>
      </c>
      <c r="F118">
        <v>4</v>
      </c>
      <c r="G118">
        <v>4</v>
      </c>
    </row>
    <row r="119" spans="1:7" x14ac:dyDescent="0.3">
      <c r="A119">
        <v>118</v>
      </c>
      <c r="B119">
        <v>0.2273</v>
      </c>
      <c r="C119">
        <v>0.64</v>
      </c>
      <c r="D119">
        <v>0</v>
      </c>
      <c r="E119">
        <v>0</v>
      </c>
      <c r="F119">
        <v>2</v>
      </c>
      <c r="G119">
        <v>2</v>
      </c>
    </row>
    <row r="120" spans="1:7" x14ac:dyDescent="0.3">
      <c r="A120">
        <v>119</v>
      </c>
      <c r="B120">
        <v>0.19700000000000001</v>
      </c>
      <c r="C120">
        <v>0.64</v>
      </c>
      <c r="D120">
        <v>8.9599999999999999E-2</v>
      </c>
      <c r="E120">
        <v>0</v>
      </c>
      <c r="F120">
        <v>1</v>
      </c>
      <c r="G120">
        <v>1</v>
      </c>
    </row>
    <row r="121" spans="1:7" x14ac:dyDescent="0.3">
      <c r="A121">
        <v>120</v>
      </c>
      <c r="B121">
        <v>0.18179999999999999</v>
      </c>
      <c r="C121">
        <v>0.69</v>
      </c>
      <c r="D121">
        <v>8.9599999999999999E-2</v>
      </c>
      <c r="E121">
        <v>0</v>
      </c>
      <c r="F121">
        <v>4</v>
      </c>
      <c r="G121">
        <v>4</v>
      </c>
    </row>
    <row r="122" spans="1:7" x14ac:dyDescent="0.3">
      <c r="A122">
        <v>121</v>
      </c>
      <c r="B122">
        <v>0.16669999999999999</v>
      </c>
      <c r="C122">
        <v>0.63</v>
      </c>
      <c r="D122">
        <v>0.1045</v>
      </c>
      <c r="E122">
        <v>0</v>
      </c>
      <c r="F122">
        <v>36</v>
      </c>
      <c r="G122">
        <v>36</v>
      </c>
    </row>
    <row r="123" spans="1:7" x14ac:dyDescent="0.3">
      <c r="A123">
        <v>122</v>
      </c>
      <c r="B123">
        <v>0.2273</v>
      </c>
      <c r="C123">
        <v>0.59</v>
      </c>
      <c r="D123">
        <v>0</v>
      </c>
      <c r="E123">
        <v>0</v>
      </c>
      <c r="F123">
        <v>95</v>
      </c>
      <c r="G123">
        <v>95</v>
      </c>
    </row>
    <row r="124" spans="1:7" x14ac:dyDescent="0.3">
      <c r="A124">
        <v>123</v>
      </c>
      <c r="B124">
        <v>0.2273</v>
      </c>
      <c r="C124">
        <v>0.59</v>
      </c>
      <c r="D124">
        <v>0</v>
      </c>
      <c r="E124">
        <v>3</v>
      </c>
      <c r="F124">
        <v>216</v>
      </c>
      <c r="G124">
        <v>219</v>
      </c>
    </row>
    <row r="125" spans="1:7" x14ac:dyDescent="0.3">
      <c r="A125">
        <v>124</v>
      </c>
      <c r="B125">
        <v>0.2424</v>
      </c>
      <c r="C125">
        <v>0.51</v>
      </c>
      <c r="D125">
        <v>0</v>
      </c>
      <c r="E125">
        <v>6</v>
      </c>
      <c r="F125">
        <v>116</v>
      </c>
      <c r="G125">
        <v>122</v>
      </c>
    </row>
    <row r="126" spans="1:7" x14ac:dyDescent="0.3">
      <c r="A126">
        <v>125</v>
      </c>
      <c r="B126">
        <v>0.2576</v>
      </c>
      <c r="C126">
        <v>0.47</v>
      </c>
      <c r="D126">
        <v>0</v>
      </c>
      <c r="E126">
        <v>3</v>
      </c>
      <c r="F126">
        <v>42</v>
      </c>
      <c r="G126">
        <v>45</v>
      </c>
    </row>
    <row r="127" spans="1:7" x14ac:dyDescent="0.3">
      <c r="A127">
        <v>126</v>
      </c>
      <c r="B127">
        <v>0.2576</v>
      </c>
      <c r="C127">
        <v>0.44</v>
      </c>
      <c r="D127">
        <v>8.9599999999999999E-2</v>
      </c>
      <c r="E127">
        <v>2</v>
      </c>
      <c r="F127">
        <v>57</v>
      </c>
      <c r="G127">
        <v>59</v>
      </c>
    </row>
    <row r="128" spans="1:7" x14ac:dyDescent="0.3">
      <c r="A128">
        <v>127</v>
      </c>
      <c r="B128">
        <v>0.28789999999999999</v>
      </c>
      <c r="C128">
        <v>0.35</v>
      </c>
      <c r="D128">
        <v>0</v>
      </c>
      <c r="E128">
        <v>6</v>
      </c>
      <c r="F128">
        <v>78</v>
      </c>
      <c r="G128">
        <v>84</v>
      </c>
    </row>
    <row r="129" spans="1:7" x14ac:dyDescent="0.3">
      <c r="A129">
        <v>128</v>
      </c>
      <c r="B129">
        <v>0.2727</v>
      </c>
      <c r="C129">
        <v>0.35</v>
      </c>
      <c r="D129">
        <v>0.1045</v>
      </c>
      <c r="E129">
        <v>12</v>
      </c>
      <c r="F129">
        <v>55</v>
      </c>
      <c r="G129">
        <v>67</v>
      </c>
    </row>
    <row r="130" spans="1:7" x14ac:dyDescent="0.3">
      <c r="A130">
        <v>129</v>
      </c>
      <c r="B130">
        <v>0.2727</v>
      </c>
      <c r="C130">
        <v>0.36</v>
      </c>
      <c r="D130">
        <v>0.16420000000000001</v>
      </c>
      <c r="E130">
        <v>11</v>
      </c>
      <c r="F130">
        <v>59</v>
      </c>
      <c r="G130">
        <v>70</v>
      </c>
    </row>
    <row r="131" spans="1:7" x14ac:dyDescent="0.3">
      <c r="A131">
        <v>130</v>
      </c>
      <c r="B131">
        <v>0.2727</v>
      </c>
      <c r="C131">
        <v>0.36</v>
      </c>
      <c r="D131">
        <v>0</v>
      </c>
      <c r="E131">
        <v>8</v>
      </c>
      <c r="F131">
        <v>54</v>
      </c>
      <c r="G131">
        <v>62</v>
      </c>
    </row>
    <row r="132" spans="1:7" x14ac:dyDescent="0.3">
      <c r="A132">
        <v>131</v>
      </c>
      <c r="B132">
        <v>0.2576</v>
      </c>
      <c r="C132">
        <v>0.38</v>
      </c>
      <c r="D132">
        <v>0.16420000000000001</v>
      </c>
      <c r="E132">
        <v>12</v>
      </c>
      <c r="F132">
        <v>74</v>
      </c>
      <c r="G132">
        <v>86</v>
      </c>
    </row>
    <row r="133" spans="1:7" x14ac:dyDescent="0.3">
      <c r="A133">
        <v>132</v>
      </c>
      <c r="B133">
        <v>0.2273</v>
      </c>
      <c r="C133">
        <v>0.51</v>
      </c>
      <c r="D133">
        <v>0.16420000000000001</v>
      </c>
      <c r="E133">
        <v>9</v>
      </c>
      <c r="F133">
        <v>163</v>
      </c>
      <c r="G133">
        <v>172</v>
      </c>
    </row>
    <row r="134" spans="1:7" x14ac:dyDescent="0.3">
      <c r="A134">
        <v>133</v>
      </c>
      <c r="B134">
        <v>0.2273</v>
      </c>
      <c r="C134">
        <v>0.51</v>
      </c>
      <c r="D134">
        <v>0.1343</v>
      </c>
      <c r="E134">
        <v>5</v>
      </c>
      <c r="F134">
        <v>158</v>
      </c>
      <c r="G134">
        <v>163</v>
      </c>
    </row>
    <row r="135" spans="1:7" x14ac:dyDescent="0.3">
      <c r="A135">
        <v>134</v>
      </c>
      <c r="B135">
        <v>0.2576</v>
      </c>
      <c r="C135">
        <v>0.55000000000000004</v>
      </c>
      <c r="D135">
        <v>8.9599999999999999E-2</v>
      </c>
      <c r="E135">
        <v>3</v>
      </c>
      <c r="F135">
        <v>109</v>
      </c>
      <c r="G135">
        <v>112</v>
      </c>
    </row>
    <row r="136" spans="1:7" x14ac:dyDescent="0.3">
      <c r="A136">
        <v>135</v>
      </c>
      <c r="B136">
        <v>0.21210000000000001</v>
      </c>
      <c r="C136">
        <v>0.51</v>
      </c>
      <c r="D136">
        <v>0.16420000000000001</v>
      </c>
      <c r="E136">
        <v>3</v>
      </c>
      <c r="F136">
        <v>66</v>
      </c>
      <c r="G136">
        <v>69</v>
      </c>
    </row>
    <row r="137" spans="1:7" x14ac:dyDescent="0.3">
      <c r="A137">
        <v>136</v>
      </c>
      <c r="B137">
        <v>0.21210000000000001</v>
      </c>
      <c r="C137">
        <v>0.55000000000000004</v>
      </c>
      <c r="D137">
        <v>0.22389999999999999</v>
      </c>
      <c r="E137">
        <v>0</v>
      </c>
      <c r="F137">
        <v>48</v>
      </c>
      <c r="G137">
        <v>48</v>
      </c>
    </row>
    <row r="138" spans="1:7" x14ac:dyDescent="0.3">
      <c r="A138">
        <v>137</v>
      </c>
      <c r="B138">
        <v>0.21210000000000001</v>
      </c>
      <c r="C138">
        <v>0.51</v>
      </c>
      <c r="D138">
        <v>0.28360000000000002</v>
      </c>
      <c r="E138">
        <v>1</v>
      </c>
      <c r="F138">
        <v>51</v>
      </c>
      <c r="G138">
        <v>52</v>
      </c>
    </row>
    <row r="139" spans="1:7" x14ac:dyDescent="0.3">
      <c r="A139">
        <v>138</v>
      </c>
      <c r="B139">
        <v>0.19700000000000001</v>
      </c>
      <c r="C139">
        <v>0.59</v>
      </c>
      <c r="D139">
        <v>0.19400000000000001</v>
      </c>
      <c r="E139">
        <v>4</v>
      </c>
      <c r="F139">
        <v>19</v>
      </c>
      <c r="G139">
        <v>23</v>
      </c>
    </row>
    <row r="140" spans="1:7" x14ac:dyDescent="0.3">
      <c r="A140">
        <v>139</v>
      </c>
      <c r="B140">
        <v>0.19700000000000001</v>
      </c>
      <c r="C140">
        <v>0.64</v>
      </c>
      <c r="D140">
        <v>0.19400000000000001</v>
      </c>
      <c r="E140">
        <v>4</v>
      </c>
      <c r="F140">
        <v>13</v>
      </c>
      <c r="G140">
        <v>17</v>
      </c>
    </row>
    <row r="141" spans="1:7" x14ac:dyDescent="0.3">
      <c r="A141">
        <v>140</v>
      </c>
      <c r="B141">
        <v>0.19700000000000001</v>
      </c>
      <c r="C141">
        <v>0.69</v>
      </c>
      <c r="D141">
        <v>0.22389999999999999</v>
      </c>
      <c r="E141">
        <v>2</v>
      </c>
      <c r="F141">
        <v>5</v>
      </c>
      <c r="G141">
        <v>7</v>
      </c>
    </row>
    <row r="142" spans="1:7" x14ac:dyDescent="0.3">
      <c r="A142">
        <v>141</v>
      </c>
      <c r="B142">
        <v>0.19700000000000001</v>
      </c>
      <c r="C142">
        <v>0.69</v>
      </c>
      <c r="D142">
        <v>0.22389999999999999</v>
      </c>
      <c r="E142">
        <v>0</v>
      </c>
      <c r="F142">
        <v>1</v>
      </c>
      <c r="G142">
        <v>1</v>
      </c>
    </row>
    <row r="143" spans="1:7" x14ac:dyDescent="0.3">
      <c r="A143">
        <v>142</v>
      </c>
      <c r="B143">
        <v>0.21210000000000001</v>
      </c>
      <c r="C143">
        <v>0.69</v>
      </c>
      <c r="D143">
        <v>0.1343</v>
      </c>
      <c r="E143">
        <v>0</v>
      </c>
      <c r="F143">
        <v>1</v>
      </c>
      <c r="G143">
        <v>1</v>
      </c>
    </row>
    <row r="144" spans="1:7" x14ac:dyDescent="0.3">
      <c r="A144">
        <v>143</v>
      </c>
      <c r="B144">
        <v>0.2727</v>
      </c>
      <c r="C144">
        <v>0.55000000000000004</v>
      </c>
      <c r="D144">
        <v>0</v>
      </c>
      <c r="E144">
        <v>0</v>
      </c>
      <c r="F144">
        <v>5</v>
      </c>
      <c r="G144">
        <v>5</v>
      </c>
    </row>
    <row r="145" spans="1:7" x14ac:dyDescent="0.3">
      <c r="A145">
        <v>144</v>
      </c>
      <c r="B145">
        <v>0.2576</v>
      </c>
      <c r="C145">
        <v>0.69</v>
      </c>
      <c r="D145">
        <v>0</v>
      </c>
      <c r="E145">
        <v>8</v>
      </c>
      <c r="F145">
        <v>26</v>
      </c>
      <c r="G145">
        <v>34</v>
      </c>
    </row>
    <row r="146" spans="1:7" x14ac:dyDescent="0.3">
      <c r="A146">
        <v>145</v>
      </c>
      <c r="B146">
        <v>0.21210000000000001</v>
      </c>
      <c r="C146">
        <v>0.69</v>
      </c>
      <c r="D146">
        <v>0.1343</v>
      </c>
      <c r="E146">
        <v>8</v>
      </c>
      <c r="F146">
        <v>76</v>
      </c>
      <c r="G146">
        <v>84</v>
      </c>
    </row>
    <row r="147" spans="1:7" x14ac:dyDescent="0.3">
      <c r="A147">
        <v>146</v>
      </c>
      <c r="B147">
        <v>0.19700000000000001</v>
      </c>
      <c r="C147">
        <v>0.51</v>
      </c>
      <c r="D147">
        <v>0.25369999999999998</v>
      </c>
      <c r="E147">
        <v>20</v>
      </c>
      <c r="F147">
        <v>190</v>
      </c>
      <c r="G147">
        <v>210</v>
      </c>
    </row>
    <row r="148" spans="1:7" x14ac:dyDescent="0.3">
      <c r="A148">
        <v>147</v>
      </c>
      <c r="B148">
        <v>0.18179999999999999</v>
      </c>
      <c r="C148">
        <v>0.47</v>
      </c>
      <c r="D148">
        <v>0.29849999999999999</v>
      </c>
      <c r="E148">
        <v>9</v>
      </c>
      <c r="F148">
        <v>125</v>
      </c>
      <c r="G148">
        <v>134</v>
      </c>
    </row>
    <row r="149" spans="1:7" x14ac:dyDescent="0.3">
      <c r="A149">
        <v>148</v>
      </c>
      <c r="B149">
        <v>0.19700000000000001</v>
      </c>
      <c r="C149">
        <v>0.37</v>
      </c>
      <c r="D149">
        <v>0.32840000000000003</v>
      </c>
      <c r="E149">
        <v>16</v>
      </c>
      <c r="F149">
        <v>47</v>
      </c>
      <c r="G149">
        <v>63</v>
      </c>
    </row>
    <row r="150" spans="1:7" x14ac:dyDescent="0.3">
      <c r="A150">
        <v>149</v>
      </c>
      <c r="B150">
        <v>0.19700000000000001</v>
      </c>
      <c r="C150">
        <v>0.4</v>
      </c>
      <c r="D150">
        <v>0.22389999999999999</v>
      </c>
      <c r="E150">
        <v>19</v>
      </c>
      <c r="F150">
        <v>48</v>
      </c>
      <c r="G150">
        <v>67</v>
      </c>
    </row>
    <row r="151" spans="1:7" x14ac:dyDescent="0.3">
      <c r="A151">
        <v>150</v>
      </c>
      <c r="B151">
        <v>0.19700000000000001</v>
      </c>
      <c r="C151">
        <v>0.37</v>
      </c>
      <c r="D151">
        <v>0.25369999999999998</v>
      </c>
      <c r="E151">
        <v>9</v>
      </c>
      <c r="F151">
        <v>50</v>
      </c>
      <c r="G151">
        <v>59</v>
      </c>
    </row>
    <row r="152" spans="1:7" x14ac:dyDescent="0.3">
      <c r="A152">
        <v>151</v>
      </c>
      <c r="B152">
        <v>0.18179999999999999</v>
      </c>
      <c r="C152">
        <v>0.37</v>
      </c>
      <c r="D152">
        <v>0.28360000000000002</v>
      </c>
      <c r="E152">
        <v>9</v>
      </c>
      <c r="F152">
        <v>64</v>
      </c>
      <c r="G152">
        <v>73</v>
      </c>
    </row>
    <row r="153" spans="1:7" x14ac:dyDescent="0.3">
      <c r="A153">
        <v>152</v>
      </c>
      <c r="B153">
        <v>0.19700000000000001</v>
      </c>
      <c r="C153">
        <v>0.4</v>
      </c>
      <c r="D153">
        <v>0.25369999999999998</v>
      </c>
      <c r="E153">
        <v>7</v>
      </c>
      <c r="F153">
        <v>43</v>
      </c>
      <c r="G153">
        <v>50</v>
      </c>
    </row>
    <row r="154" spans="1:7" x14ac:dyDescent="0.3">
      <c r="A154">
        <v>153</v>
      </c>
      <c r="B154">
        <v>0.21210000000000001</v>
      </c>
      <c r="C154">
        <v>0.37</v>
      </c>
      <c r="D154">
        <v>0.16420000000000001</v>
      </c>
      <c r="E154">
        <v>9</v>
      </c>
      <c r="F154">
        <v>63</v>
      </c>
      <c r="G154">
        <v>72</v>
      </c>
    </row>
    <row r="155" spans="1:7" x14ac:dyDescent="0.3">
      <c r="A155">
        <v>154</v>
      </c>
      <c r="B155">
        <v>0.21210000000000001</v>
      </c>
      <c r="C155">
        <v>0.37</v>
      </c>
      <c r="D155">
        <v>0.16420000000000001</v>
      </c>
      <c r="E155">
        <v>5</v>
      </c>
      <c r="F155">
        <v>82</v>
      </c>
      <c r="G155">
        <v>87</v>
      </c>
    </row>
    <row r="156" spans="1:7" x14ac:dyDescent="0.3">
      <c r="A156">
        <v>155</v>
      </c>
      <c r="B156">
        <v>0.2576</v>
      </c>
      <c r="C156">
        <v>0.37</v>
      </c>
      <c r="D156">
        <v>0</v>
      </c>
      <c r="E156">
        <v>9</v>
      </c>
      <c r="F156">
        <v>178</v>
      </c>
      <c r="G156">
        <v>187</v>
      </c>
    </row>
    <row r="157" spans="1:7" x14ac:dyDescent="0.3">
      <c r="A157">
        <v>156</v>
      </c>
      <c r="B157">
        <v>0.2273</v>
      </c>
      <c r="C157">
        <v>0.4</v>
      </c>
      <c r="D157">
        <v>8.9599999999999999E-2</v>
      </c>
      <c r="E157">
        <v>7</v>
      </c>
      <c r="F157">
        <v>116</v>
      </c>
      <c r="G157">
        <v>123</v>
      </c>
    </row>
    <row r="158" spans="1:7" x14ac:dyDescent="0.3">
      <c r="A158">
        <v>157</v>
      </c>
      <c r="B158">
        <v>0.19700000000000001</v>
      </c>
      <c r="C158">
        <v>0.55000000000000004</v>
      </c>
      <c r="D158">
        <v>8.9599999999999999E-2</v>
      </c>
      <c r="E158">
        <v>3</v>
      </c>
      <c r="F158">
        <v>92</v>
      </c>
      <c r="G158">
        <v>95</v>
      </c>
    </row>
    <row r="159" spans="1:7" x14ac:dyDescent="0.3">
      <c r="A159">
        <v>158</v>
      </c>
      <c r="B159">
        <v>0.21210000000000001</v>
      </c>
      <c r="C159">
        <v>0.47</v>
      </c>
      <c r="D159">
        <v>0.1045</v>
      </c>
      <c r="E159">
        <v>1</v>
      </c>
      <c r="F159">
        <v>50</v>
      </c>
      <c r="G159">
        <v>51</v>
      </c>
    </row>
    <row r="160" spans="1:7" x14ac:dyDescent="0.3">
      <c r="A160">
        <v>159</v>
      </c>
      <c r="B160">
        <v>0.19700000000000001</v>
      </c>
      <c r="C160">
        <v>0.47</v>
      </c>
      <c r="D160">
        <v>0.1343</v>
      </c>
      <c r="E160">
        <v>0</v>
      </c>
      <c r="F160">
        <v>39</v>
      </c>
      <c r="G160">
        <v>39</v>
      </c>
    </row>
    <row r="161" spans="1:7" x14ac:dyDescent="0.3">
      <c r="A161">
        <v>160</v>
      </c>
      <c r="B161">
        <v>0.19700000000000001</v>
      </c>
      <c r="C161">
        <v>0.43</v>
      </c>
      <c r="D161">
        <v>0.16420000000000001</v>
      </c>
      <c r="E161">
        <v>2</v>
      </c>
      <c r="F161">
        <v>34</v>
      </c>
      <c r="G161">
        <v>36</v>
      </c>
    </row>
    <row r="162" spans="1:7" x14ac:dyDescent="0.3">
      <c r="A162">
        <v>161</v>
      </c>
      <c r="B162">
        <v>0.19700000000000001</v>
      </c>
      <c r="C162">
        <v>0.51</v>
      </c>
      <c r="D162">
        <v>0.16420000000000001</v>
      </c>
      <c r="E162">
        <v>1</v>
      </c>
      <c r="F162">
        <v>14</v>
      </c>
      <c r="G162">
        <v>15</v>
      </c>
    </row>
    <row r="163" spans="1:7" x14ac:dyDescent="0.3">
      <c r="A163">
        <v>162</v>
      </c>
      <c r="B163">
        <v>0.19700000000000001</v>
      </c>
      <c r="C163">
        <v>0.51</v>
      </c>
      <c r="D163">
        <v>0.16420000000000001</v>
      </c>
      <c r="E163">
        <v>1</v>
      </c>
      <c r="F163">
        <v>24</v>
      </c>
      <c r="G163">
        <v>25</v>
      </c>
    </row>
    <row r="164" spans="1:7" x14ac:dyDescent="0.3">
      <c r="A164">
        <v>163</v>
      </c>
      <c r="B164">
        <v>0.21210000000000001</v>
      </c>
      <c r="C164">
        <v>0.55000000000000004</v>
      </c>
      <c r="D164">
        <v>8.9599999999999999E-2</v>
      </c>
      <c r="E164">
        <v>1</v>
      </c>
      <c r="F164">
        <v>15</v>
      </c>
      <c r="G164">
        <v>16</v>
      </c>
    </row>
    <row r="165" spans="1:7" x14ac:dyDescent="0.3">
      <c r="A165">
        <v>164</v>
      </c>
      <c r="B165">
        <v>0.2424</v>
      </c>
      <c r="C165">
        <v>0.55000000000000004</v>
      </c>
      <c r="D165">
        <v>0</v>
      </c>
      <c r="E165">
        <v>3</v>
      </c>
      <c r="F165">
        <v>13</v>
      </c>
      <c r="G165">
        <v>16</v>
      </c>
    </row>
    <row r="166" spans="1:7" x14ac:dyDescent="0.3">
      <c r="A166">
        <v>165</v>
      </c>
      <c r="B166">
        <v>0.19700000000000001</v>
      </c>
      <c r="C166">
        <v>0.55000000000000004</v>
      </c>
      <c r="D166">
        <v>0.16420000000000001</v>
      </c>
      <c r="E166">
        <v>0</v>
      </c>
      <c r="F166">
        <v>7</v>
      </c>
      <c r="G166">
        <v>7</v>
      </c>
    </row>
    <row r="167" spans="1:7" x14ac:dyDescent="0.3">
      <c r="A167">
        <v>166</v>
      </c>
      <c r="B167">
        <v>0.19700000000000001</v>
      </c>
      <c r="C167">
        <v>0.55000000000000004</v>
      </c>
      <c r="D167">
        <v>0.16420000000000001</v>
      </c>
      <c r="E167">
        <v>0</v>
      </c>
      <c r="F167">
        <v>1</v>
      </c>
      <c r="G167">
        <v>1</v>
      </c>
    </row>
    <row r="168" spans="1:7" x14ac:dyDescent="0.3">
      <c r="A168">
        <v>167</v>
      </c>
      <c r="B168">
        <v>0.16669999999999999</v>
      </c>
      <c r="C168">
        <v>0.74</v>
      </c>
      <c r="D168">
        <v>0.16420000000000001</v>
      </c>
      <c r="E168">
        <v>0</v>
      </c>
      <c r="F168">
        <v>5</v>
      </c>
      <c r="G168">
        <v>5</v>
      </c>
    </row>
    <row r="169" spans="1:7" x14ac:dyDescent="0.3">
      <c r="A169">
        <v>168</v>
      </c>
      <c r="B169">
        <v>0.16669999999999999</v>
      </c>
      <c r="C169">
        <v>0.74</v>
      </c>
      <c r="D169">
        <v>0.16420000000000001</v>
      </c>
      <c r="E169">
        <v>0</v>
      </c>
      <c r="F169">
        <v>2</v>
      </c>
      <c r="G169">
        <v>2</v>
      </c>
    </row>
    <row r="170" spans="1:7" x14ac:dyDescent="0.3">
      <c r="A170">
        <v>169</v>
      </c>
      <c r="B170">
        <v>0.18179999999999999</v>
      </c>
      <c r="C170">
        <v>0.74</v>
      </c>
      <c r="D170">
        <v>0.1045</v>
      </c>
      <c r="E170">
        <v>1</v>
      </c>
      <c r="F170">
        <v>8</v>
      </c>
      <c r="G170">
        <v>9</v>
      </c>
    </row>
    <row r="171" spans="1:7" x14ac:dyDescent="0.3">
      <c r="A171">
        <v>170</v>
      </c>
      <c r="B171">
        <v>0.18179999999999999</v>
      </c>
      <c r="C171">
        <v>0.93</v>
      </c>
      <c r="D171">
        <v>0.1045</v>
      </c>
      <c r="E171">
        <v>0</v>
      </c>
      <c r="F171">
        <v>15</v>
      </c>
      <c r="G171">
        <v>15</v>
      </c>
    </row>
    <row r="172" spans="1:7" x14ac:dyDescent="0.3">
      <c r="A172">
        <v>171</v>
      </c>
      <c r="B172">
        <v>0.18179999999999999</v>
      </c>
      <c r="C172">
        <v>0.93</v>
      </c>
      <c r="D172">
        <v>0.1045</v>
      </c>
      <c r="E172">
        <v>0</v>
      </c>
      <c r="F172">
        <v>20</v>
      </c>
      <c r="G172">
        <v>20</v>
      </c>
    </row>
    <row r="173" spans="1:7" x14ac:dyDescent="0.3">
      <c r="A173">
        <v>172</v>
      </c>
      <c r="B173">
        <v>0.19700000000000001</v>
      </c>
      <c r="C173">
        <v>0.8</v>
      </c>
      <c r="D173">
        <v>0.16420000000000001</v>
      </c>
      <c r="E173">
        <v>5</v>
      </c>
      <c r="F173">
        <v>56</v>
      </c>
      <c r="G173">
        <v>61</v>
      </c>
    </row>
    <row r="174" spans="1:7" x14ac:dyDescent="0.3">
      <c r="A174">
        <v>173</v>
      </c>
      <c r="B174">
        <v>0.18179999999999999</v>
      </c>
      <c r="C174">
        <v>0.69</v>
      </c>
      <c r="D174">
        <v>0.3881</v>
      </c>
      <c r="E174">
        <v>2</v>
      </c>
      <c r="F174">
        <v>60</v>
      </c>
      <c r="G174">
        <v>62</v>
      </c>
    </row>
    <row r="175" spans="1:7" x14ac:dyDescent="0.3">
      <c r="A175">
        <v>174</v>
      </c>
      <c r="B175">
        <v>0.18179999999999999</v>
      </c>
      <c r="C175">
        <v>0.59</v>
      </c>
      <c r="D175">
        <v>0.35820000000000002</v>
      </c>
      <c r="E175">
        <v>8</v>
      </c>
      <c r="F175">
        <v>90</v>
      </c>
      <c r="G175">
        <v>98</v>
      </c>
    </row>
    <row r="176" spans="1:7" x14ac:dyDescent="0.3">
      <c r="A176">
        <v>175</v>
      </c>
      <c r="B176">
        <v>0.18179999999999999</v>
      </c>
      <c r="C176">
        <v>0.44</v>
      </c>
      <c r="D176">
        <v>0.32840000000000003</v>
      </c>
      <c r="E176">
        <v>7</v>
      </c>
      <c r="F176">
        <v>95</v>
      </c>
      <c r="G176">
        <v>102</v>
      </c>
    </row>
    <row r="177" spans="1:7" x14ac:dyDescent="0.3">
      <c r="A177">
        <v>176</v>
      </c>
      <c r="B177">
        <v>0.16669999999999999</v>
      </c>
      <c r="C177">
        <v>0.32</v>
      </c>
      <c r="D177">
        <v>0.49249999999999999</v>
      </c>
      <c r="E177">
        <v>12</v>
      </c>
      <c r="F177">
        <v>83</v>
      </c>
      <c r="G177">
        <v>95</v>
      </c>
    </row>
    <row r="178" spans="1:7" x14ac:dyDescent="0.3">
      <c r="A178">
        <v>177</v>
      </c>
      <c r="B178">
        <v>0.16669999999999999</v>
      </c>
      <c r="C178">
        <v>0.32</v>
      </c>
      <c r="D178">
        <v>0.44779999999999998</v>
      </c>
      <c r="E178">
        <v>5</v>
      </c>
      <c r="F178">
        <v>69</v>
      </c>
      <c r="G178">
        <v>74</v>
      </c>
    </row>
    <row r="179" spans="1:7" x14ac:dyDescent="0.3">
      <c r="A179">
        <v>178</v>
      </c>
      <c r="B179">
        <v>0.13639999999999999</v>
      </c>
      <c r="C179">
        <v>0.28999999999999998</v>
      </c>
      <c r="D179">
        <v>0.44779999999999998</v>
      </c>
      <c r="E179">
        <v>8</v>
      </c>
      <c r="F179">
        <v>68</v>
      </c>
      <c r="G179">
        <v>76</v>
      </c>
    </row>
    <row r="180" spans="1:7" x14ac:dyDescent="0.3">
      <c r="A180">
        <v>179</v>
      </c>
      <c r="B180">
        <v>0.1212</v>
      </c>
      <c r="C180">
        <v>0.37</v>
      </c>
      <c r="D180">
        <v>0.55220000000000002</v>
      </c>
      <c r="E180">
        <v>5</v>
      </c>
      <c r="F180">
        <v>64</v>
      </c>
      <c r="G180">
        <v>69</v>
      </c>
    </row>
    <row r="181" spans="1:7" x14ac:dyDescent="0.3">
      <c r="A181">
        <v>180</v>
      </c>
      <c r="B181">
        <v>0.1212</v>
      </c>
      <c r="C181">
        <v>0.39</v>
      </c>
      <c r="D181">
        <v>0.29849999999999999</v>
      </c>
      <c r="E181">
        <v>3</v>
      </c>
      <c r="F181">
        <v>52</v>
      </c>
      <c r="G181">
        <v>55</v>
      </c>
    </row>
    <row r="182" spans="1:7" x14ac:dyDescent="0.3">
      <c r="A182">
        <v>181</v>
      </c>
      <c r="B182">
        <v>0.1212</v>
      </c>
      <c r="C182">
        <v>0.36</v>
      </c>
      <c r="D182">
        <v>0.25369999999999998</v>
      </c>
      <c r="E182">
        <v>4</v>
      </c>
      <c r="F182">
        <v>26</v>
      </c>
      <c r="G182">
        <v>30</v>
      </c>
    </row>
    <row r="183" spans="1:7" x14ac:dyDescent="0.3">
      <c r="A183">
        <v>182</v>
      </c>
      <c r="B183">
        <v>0.1212</v>
      </c>
      <c r="C183">
        <v>0.36</v>
      </c>
      <c r="D183">
        <v>0.25369999999999998</v>
      </c>
      <c r="E183">
        <v>0</v>
      </c>
      <c r="F183">
        <v>28</v>
      </c>
      <c r="G183">
        <v>28</v>
      </c>
    </row>
    <row r="184" spans="1:7" x14ac:dyDescent="0.3">
      <c r="A184">
        <v>183</v>
      </c>
      <c r="B184">
        <v>0.1061</v>
      </c>
      <c r="C184">
        <v>0.39</v>
      </c>
      <c r="D184">
        <v>0.35820000000000002</v>
      </c>
      <c r="E184">
        <v>2</v>
      </c>
      <c r="F184">
        <v>35</v>
      </c>
      <c r="G184">
        <v>37</v>
      </c>
    </row>
    <row r="185" spans="1:7" x14ac:dyDescent="0.3">
      <c r="A185">
        <v>184</v>
      </c>
      <c r="B185">
        <v>0.1061</v>
      </c>
      <c r="C185">
        <v>0.36</v>
      </c>
      <c r="D185">
        <v>0.3881</v>
      </c>
      <c r="E185">
        <v>1</v>
      </c>
      <c r="F185">
        <v>33</v>
      </c>
      <c r="G185">
        <v>34</v>
      </c>
    </row>
    <row r="186" spans="1:7" x14ac:dyDescent="0.3">
      <c r="A186">
        <v>185</v>
      </c>
      <c r="B186">
        <v>6.0600000000000001E-2</v>
      </c>
      <c r="C186">
        <v>0.39</v>
      </c>
      <c r="D186">
        <v>0.44779999999999998</v>
      </c>
      <c r="E186">
        <v>0</v>
      </c>
      <c r="F186">
        <v>22</v>
      </c>
      <c r="G186">
        <v>22</v>
      </c>
    </row>
    <row r="187" spans="1:7" x14ac:dyDescent="0.3">
      <c r="A187">
        <v>186</v>
      </c>
      <c r="B187">
        <v>7.5800000000000006E-2</v>
      </c>
      <c r="C187">
        <v>0.42</v>
      </c>
      <c r="D187">
        <v>0.3881</v>
      </c>
      <c r="E187">
        <v>1</v>
      </c>
      <c r="F187">
        <v>24</v>
      </c>
      <c r="G187">
        <v>25</v>
      </c>
    </row>
    <row r="188" spans="1:7" x14ac:dyDescent="0.3">
      <c r="A188">
        <v>187</v>
      </c>
      <c r="B188">
        <v>6.0600000000000001E-2</v>
      </c>
      <c r="C188">
        <v>0.42</v>
      </c>
      <c r="D188">
        <v>0.4627</v>
      </c>
      <c r="E188">
        <v>0</v>
      </c>
      <c r="F188">
        <v>12</v>
      </c>
      <c r="G188">
        <v>12</v>
      </c>
    </row>
    <row r="189" spans="1:7" x14ac:dyDescent="0.3">
      <c r="A189">
        <v>188</v>
      </c>
      <c r="B189">
        <v>6.0600000000000001E-2</v>
      </c>
      <c r="C189">
        <v>0.46</v>
      </c>
      <c r="D189">
        <v>0.4627</v>
      </c>
      <c r="E189">
        <v>0</v>
      </c>
      <c r="F189">
        <v>11</v>
      </c>
      <c r="G189">
        <v>11</v>
      </c>
    </row>
    <row r="190" spans="1:7" x14ac:dyDescent="0.3">
      <c r="A190">
        <v>189</v>
      </c>
      <c r="B190">
        <v>7.5800000000000006E-2</v>
      </c>
      <c r="C190">
        <v>0.46</v>
      </c>
      <c r="D190">
        <v>0.41789999999999999</v>
      </c>
      <c r="E190">
        <v>0</v>
      </c>
      <c r="F190">
        <v>4</v>
      </c>
      <c r="G190">
        <v>4</v>
      </c>
    </row>
    <row r="191" spans="1:7" x14ac:dyDescent="0.3">
      <c r="A191">
        <v>190</v>
      </c>
      <c r="B191">
        <v>9.0899999999999995E-2</v>
      </c>
      <c r="C191">
        <v>0.53</v>
      </c>
      <c r="D191">
        <v>0.19400000000000001</v>
      </c>
      <c r="E191">
        <v>0</v>
      </c>
      <c r="F191">
        <v>1</v>
      </c>
      <c r="G191">
        <v>1</v>
      </c>
    </row>
    <row r="192" spans="1:7" x14ac:dyDescent="0.3">
      <c r="A192">
        <v>191</v>
      </c>
      <c r="B192">
        <v>9.0899999999999995E-2</v>
      </c>
      <c r="C192">
        <v>0.53</v>
      </c>
      <c r="D192">
        <v>0.19400000000000001</v>
      </c>
      <c r="E192">
        <v>0</v>
      </c>
      <c r="F192">
        <v>1</v>
      </c>
      <c r="G192">
        <v>1</v>
      </c>
    </row>
    <row r="193" spans="1:7" x14ac:dyDescent="0.3">
      <c r="A193">
        <v>192</v>
      </c>
      <c r="B193">
        <v>9.0899999999999995E-2</v>
      </c>
      <c r="C193">
        <v>0.49</v>
      </c>
      <c r="D193">
        <v>0.28360000000000002</v>
      </c>
      <c r="E193">
        <v>0</v>
      </c>
      <c r="F193">
        <v>1</v>
      </c>
      <c r="G193">
        <v>1</v>
      </c>
    </row>
    <row r="194" spans="1:7" x14ac:dyDescent="0.3">
      <c r="A194">
        <v>193</v>
      </c>
      <c r="B194">
        <v>9.0899999999999995E-2</v>
      </c>
      <c r="C194">
        <v>0.53</v>
      </c>
      <c r="D194">
        <v>0.19400000000000001</v>
      </c>
      <c r="E194">
        <v>1</v>
      </c>
      <c r="F194">
        <v>5</v>
      </c>
      <c r="G194">
        <v>6</v>
      </c>
    </row>
    <row r="195" spans="1:7" x14ac:dyDescent="0.3">
      <c r="A195">
        <v>194</v>
      </c>
      <c r="B195">
        <v>9.0899999999999995E-2</v>
      </c>
      <c r="C195">
        <v>0.49</v>
      </c>
      <c r="D195">
        <v>0.28360000000000002</v>
      </c>
      <c r="E195">
        <v>0</v>
      </c>
      <c r="F195">
        <v>10</v>
      </c>
      <c r="G195">
        <v>10</v>
      </c>
    </row>
    <row r="196" spans="1:7" x14ac:dyDescent="0.3">
      <c r="A196">
        <v>195</v>
      </c>
      <c r="B196">
        <v>7.5800000000000006E-2</v>
      </c>
      <c r="C196">
        <v>0.46</v>
      </c>
      <c r="D196">
        <v>0.52239999999999998</v>
      </c>
      <c r="E196">
        <v>0</v>
      </c>
      <c r="F196">
        <v>19</v>
      </c>
      <c r="G196">
        <v>19</v>
      </c>
    </row>
    <row r="197" spans="1:7" x14ac:dyDescent="0.3">
      <c r="A197">
        <v>196</v>
      </c>
      <c r="B197">
        <v>0.1061</v>
      </c>
      <c r="C197">
        <v>0.43</v>
      </c>
      <c r="D197">
        <v>0.3881</v>
      </c>
      <c r="E197">
        <v>0</v>
      </c>
      <c r="F197">
        <v>49</v>
      </c>
      <c r="G197">
        <v>49</v>
      </c>
    </row>
    <row r="198" spans="1:7" x14ac:dyDescent="0.3">
      <c r="A198">
        <v>197</v>
      </c>
      <c r="B198">
        <v>0.1212</v>
      </c>
      <c r="C198">
        <v>0.4</v>
      </c>
      <c r="D198">
        <v>0.52239999999999998</v>
      </c>
      <c r="E198">
        <v>2</v>
      </c>
      <c r="F198">
        <v>47</v>
      </c>
      <c r="G198">
        <v>49</v>
      </c>
    </row>
    <row r="199" spans="1:7" x14ac:dyDescent="0.3">
      <c r="A199">
        <v>198</v>
      </c>
      <c r="B199">
        <v>0.13639999999999999</v>
      </c>
      <c r="C199">
        <v>0.37</v>
      </c>
      <c r="D199">
        <v>0.44779999999999998</v>
      </c>
      <c r="E199">
        <v>4</v>
      </c>
      <c r="F199">
        <v>79</v>
      </c>
      <c r="G199">
        <v>83</v>
      </c>
    </row>
    <row r="200" spans="1:7" x14ac:dyDescent="0.3">
      <c r="A200">
        <v>199</v>
      </c>
      <c r="B200">
        <v>0.16669999999999999</v>
      </c>
      <c r="C200">
        <v>0.34</v>
      </c>
      <c r="D200">
        <v>0.44779999999999998</v>
      </c>
      <c r="E200">
        <v>6</v>
      </c>
      <c r="F200">
        <v>69</v>
      </c>
      <c r="G200">
        <v>75</v>
      </c>
    </row>
    <row r="201" spans="1:7" x14ac:dyDescent="0.3">
      <c r="A201">
        <v>200</v>
      </c>
      <c r="B201">
        <v>0.18179999999999999</v>
      </c>
      <c r="C201">
        <v>0.32</v>
      </c>
      <c r="D201">
        <v>0.4627</v>
      </c>
      <c r="E201">
        <v>8</v>
      </c>
      <c r="F201">
        <v>64</v>
      </c>
      <c r="G201">
        <v>72</v>
      </c>
    </row>
    <row r="202" spans="1:7" x14ac:dyDescent="0.3">
      <c r="A202">
        <v>201</v>
      </c>
      <c r="B202">
        <v>0.19700000000000001</v>
      </c>
      <c r="C202">
        <v>0.35</v>
      </c>
      <c r="D202">
        <v>0.35820000000000002</v>
      </c>
      <c r="E202">
        <v>5</v>
      </c>
      <c r="F202">
        <v>77</v>
      </c>
      <c r="G202">
        <v>82</v>
      </c>
    </row>
    <row r="203" spans="1:7" x14ac:dyDescent="0.3">
      <c r="A203">
        <v>202</v>
      </c>
      <c r="B203">
        <v>0.16669999999999999</v>
      </c>
      <c r="C203">
        <v>0.34</v>
      </c>
      <c r="D203">
        <v>0.44779999999999998</v>
      </c>
      <c r="E203">
        <v>13</v>
      </c>
      <c r="F203">
        <v>79</v>
      </c>
      <c r="G203">
        <v>92</v>
      </c>
    </row>
    <row r="204" spans="1:7" x14ac:dyDescent="0.3">
      <c r="A204">
        <v>203</v>
      </c>
      <c r="B204">
        <v>0.1515</v>
      </c>
      <c r="C204">
        <v>0.37</v>
      </c>
      <c r="D204">
        <v>0.3881</v>
      </c>
      <c r="E204">
        <v>3</v>
      </c>
      <c r="F204">
        <v>59</v>
      </c>
      <c r="G204">
        <v>62</v>
      </c>
    </row>
    <row r="205" spans="1:7" x14ac:dyDescent="0.3">
      <c r="A205">
        <v>204</v>
      </c>
      <c r="B205">
        <v>0.13639999999999999</v>
      </c>
      <c r="C205">
        <v>0.4</v>
      </c>
      <c r="D205">
        <v>0.32840000000000003</v>
      </c>
      <c r="E205">
        <v>4</v>
      </c>
      <c r="F205">
        <v>44</v>
      </c>
      <c r="G205">
        <v>48</v>
      </c>
    </row>
    <row r="206" spans="1:7" x14ac:dyDescent="0.3">
      <c r="A206">
        <v>205</v>
      </c>
      <c r="B206">
        <v>0.13639999999999999</v>
      </c>
      <c r="C206">
        <v>0.43</v>
      </c>
      <c r="D206">
        <v>0.32840000000000003</v>
      </c>
      <c r="E206">
        <v>1</v>
      </c>
      <c r="F206">
        <v>40</v>
      </c>
      <c r="G206">
        <v>41</v>
      </c>
    </row>
    <row r="207" spans="1:7" x14ac:dyDescent="0.3">
      <c r="A207">
        <v>206</v>
      </c>
      <c r="B207">
        <v>0.1212</v>
      </c>
      <c r="C207">
        <v>0.46</v>
      </c>
      <c r="D207">
        <v>0.25369999999999998</v>
      </c>
      <c r="E207">
        <v>0</v>
      </c>
      <c r="F207">
        <v>38</v>
      </c>
      <c r="G207">
        <v>38</v>
      </c>
    </row>
    <row r="208" spans="1:7" x14ac:dyDescent="0.3">
      <c r="A208">
        <v>207</v>
      </c>
      <c r="B208">
        <v>0.1061</v>
      </c>
      <c r="C208">
        <v>0.46</v>
      </c>
      <c r="D208">
        <v>0.41789999999999999</v>
      </c>
      <c r="E208">
        <v>1</v>
      </c>
      <c r="F208">
        <v>19</v>
      </c>
      <c r="G208">
        <v>20</v>
      </c>
    </row>
    <row r="209" spans="1:7" x14ac:dyDescent="0.3">
      <c r="A209">
        <v>208</v>
      </c>
      <c r="B209">
        <v>0.1212</v>
      </c>
      <c r="C209">
        <v>0.46</v>
      </c>
      <c r="D209">
        <v>0.29849999999999999</v>
      </c>
      <c r="E209">
        <v>5</v>
      </c>
      <c r="F209">
        <v>10</v>
      </c>
      <c r="G209">
        <v>15</v>
      </c>
    </row>
    <row r="210" spans="1:7" x14ac:dyDescent="0.3">
      <c r="A210">
        <v>209</v>
      </c>
      <c r="B210">
        <v>0.13639999999999999</v>
      </c>
      <c r="C210">
        <v>0.5</v>
      </c>
      <c r="D210">
        <v>0.19400000000000001</v>
      </c>
      <c r="E210">
        <v>0</v>
      </c>
      <c r="F210">
        <v>6</v>
      </c>
      <c r="G210">
        <v>6</v>
      </c>
    </row>
    <row r="211" spans="1:7" x14ac:dyDescent="0.3">
      <c r="A211">
        <v>210</v>
      </c>
      <c r="B211">
        <v>0.1212</v>
      </c>
      <c r="C211">
        <v>0.5</v>
      </c>
      <c r="D211">
        <v>0.28360000000000002</v>
      </c>
      <c r="E211">
        <v>2</v>
      </c>
      <c r="F211">
        <v>3</v>
      </c>
      <c r="G211">
        <v>5</v>
      </c>
    </row>
    <row r="212" spans="1:7" x14ac:dyDescent="0.3">
      <c r="A212">
        <v>211</v>
      </c>
      <c r="B212">
        <v>0.1212</v>
      </c>
      <c r="C212">
        <v>0.5</v>
      </c>
      <c r="D212">
        <v>0.28360000000000002</v>
      </c>
      <c r="E212">
        <v>1</v>
      </c>
      <c r="F212">
        <v>0</v>
      </c>
      <c r="G212">
        <v>1</v>
      </c>
    </row>
    <row r="213" spans="1:7" x14ac:dyDescent="0.3">
      <c r="A213">
        <v>212</v>
      </c>
      <c r="B213">
        <v>0.1212</v>
      </c>
      <c r="C213">
        <v>0.5</v>
      </c>
      <c r="D213">
        <v>0.22389999999999999</v>
      </c>
      <c r="E213">
        <v>0</v>
      </c>
      <c r="F213">
        <v>3</v>
      </c>
      <c r="G213">
        <v>3</v>
      </c>
    </row>
    <row r="214" spans="1:7" x14ac:dyDescent="0.3">
      <c r="A214">
        <v>213</v>
      </c>
      <c r="B214">
        <v>0.1212</v>
      </c>
      <c r="C214">
        <v>0.5</v>
      </c>
      <c r="D214">
        <v>0.22389999999999999</v>
      </c>
      <c r="E214">
        <v>0</v>
      </c>
      <c r="F214">
        <v>1</v>
      </c>
      <c r="G214">
        <v>1</v>
      </c>
    </row>
    <row r="215" spans="1:7" x14ac:dyDescent="0.3">
      <c r="A215">
        <v>214</v>
      </c>
      <c r="B215">
        <v>0.1212</v>
      </c>
      <c r="C215">
        <v>0.54</v>
      </c>
      <c r="D215">
        <v>0.1343</v>
      </c>
      <c r="E215">
        <v>1</v>
      </c>
      <c r="F215">
        <v>2</v>
      </c>
      <c r="G215">
        <v>3</v>
      </c>
    </row>
    <row r="216" spans="1:7" x14ac:dyDescent="0.3">
      <c r="A216">
        <v>215</v>
      </c>
      <c r="B216">
        <v>0.1061</v>
      </c>
      <c r="C216">
        <v>0.54</v>
      </c>
      <c r="D216">
        <v>0.25369999999999998</v>
      </c>
      <c r="E216">
        <v>0</v>
      </c>
      <c r="F216">
        <v>3</v>
      </c>
      <c r="G216">
        <v>3</v>
      </c>
    </row>
    <row r="217" spans="1:7" x14ac:dyDescent="0.3">
      <c r="A217">
        <v>216</v>
      </c>
      <c r="B217">
        <v>0.1212</v>
      </c>
      <c r="C217">
        <v>0.5</v>
      </c>
      <c r="D217">
        <v>0.28360000000000002</v>
      </c>
      <c r="E217">
        <v>0</v>
      </c>
      <c r="F217">
        <v>31</v>
      </c>
      <c r="G217">
        <v>31</v>
      </c>
    </row>
    <row r="218" spans="1:7" x14ac:dyDescent="0.3">
      <c r="A218">
        <v>217</v>
      </c>
      <c r="B218">
        <v>0.1212</v>
      </c>
      <c r="C218">
        <v>0.5</v>
      </c>
      <c r="D218">
        <v>0.22389999999999999</v>
      </c>
      <c r="E218">
        <v>2</v>
      </c>
      <c r="F218">
        <v>75</v>
      </c>
      <c r="G218">
        <v>77</v>
      </c>
    </row>
    <row r="219" spans="1:7" x14ac:dyDescent="0.3">
      <c r="A219">
        <v>218</v>
      </c>
      <c r="B219">
        <v>0.1212</v>
      </c>
      <c r="C219">
        <v>0.5</v>
      </c>
      <c r="D219">
        <v>0.28360000000000002</v>
      </c>
      <c r="E219">
        <v>4</v>
      </c>
      <c r="F219">
        <v>184</v>
      </c>
      <c r="G219">
        <v>188</v>
      </c>
    </row>
    <row r="220" spans="1:7" x14ac:dyDescent="0.3">
      <c r="A220">
        <v>219</v>
      </c>
      <c r="B220">
        <v>0.1212</v>
      </c>
      <c r="C220">
        <v>0.5</v>
      </c>
      <c r="D220">
        <v>0.25369999999999998</v>
      </c>
      <c r="E220">
        <v>2</v>
      </c>
      <c r="F220">
        <v>92</v>
      </c>
      <c r="G220">
        <v>94</v>
      </c>
    </row>
    <row r="221" spans="1:7" x14ac:dyDescent="0.3">
      <c r="A221">
        <v>220</v>
      </c>
      <c r="B221">
        <v>0.1212</v>
      </c>
      <c r="C221">
        <v>0.5</v>
      </c>
      <c r="D221">
        <v>0.29849999999999999</v>
      </c>
      <c r="E221">
        <v>0</v>
      </c>
      <c r="F221">
        <v>31</v>
      </c>
      <c r="G221">
        <v>31</v>
      </c>
    </row>
    <row r="222" spans="1:7" x14ac:dyDescent="0.3">
      <c r="A222">
        <v>221</v>
      </c>
      <c r="B222">
        <v>0.13639999999999999</v>
      </c>
      <c r="C222">
        <v>0.47</v>
      </c>
      <c r="D222">
        <v>0.28360000000000002</v>
      </c>
      <c r="E222">
        <v>2</v>
      </c>
      <c r="F222">
        <v>28</v>
      </c>
      <c r="G222">
        <v>30</v>
      </c>
    </row>
    <row r="223" spans="1:7" x14ac:dyDescent="0.3">
      <c r="A223">
        <v>222</v>
      </c>
      <c r="B223">
        <v>0.18179999999999999</v>
      </c>
      <c r="C223">
        <v>0.4</v>
      </c>
      <c r="D223">
        <v>0.28360000000000002</v>
      </c>
      <c r="E223">
        <v>5</v>
      </c>
      <c r="F223">
        <v>47</v>
      </c>
      <c r="G223">
        <v>52</v>
      </c>
    </row>
    <row r="224" spans="1:7" x14ac:dyDescent="0.3">
      <c r="A224">
        <v>223</v>
      </c>
      <c r="B224">
        <v>0.18179999999999999</v>
      </c>
      <c r="C224">
        <v>0.4</v>
      </c>
      <c r="D224">
        <v>0.28360000000000002</v>
      </c>
      <c r="E224">
        <v>4</v>
      </c>
      <c r="F224">
        <v>50</v>
      </c>
      <c r="G224">
        <v>54</v>
      </c>
    </row>
    <row r="225" spans="1:7" x14ac:dyDescent="0.3">
      <c r="A225">
        <v>224</v>
      </c>
      <c r="B225">
        <v>0.19700000000000001</v>
      </c>
      <c r="C225">
        <v>0.4</v>
      </c>
      <c r="D225">
        <v>0.22389999999999999</v>
      </c>
      <c r="E225">
        <v>0</v>
      </c>
      <c r="F225">
        <v>47</v>
      </c>
      <c r="G225">
        <v>47</v>
      </c>
    </row>
    <row r="226" spans="1:7" x14ac:dyDescent="0.3">
      <c r="A226">
        <v>225</v>
      </c>
      <c r="B226">
        <v>0.19700000000000001</v>
      </c>
      <c r="C226">
        <v>0.4</v>
      </c>
      <c r="D226">
        <v>0.22389999999999999</v>
      </c>
      <c r="E226">
        <v>2</v>
      </c>
      <c r="F226">
        <v>43</v>
      </c>
      <c r="G226">
        <v>45</v>
      </c>
    </row>
    <row r="227" spans="1:7" x14ac:dyDescent="0.3">
      <c r="A227">
        <v>226</v>
      </c>
      <c r="B227">
        <v>0.21210000000000001</v>
      </c>
      <c r="C227">
        <v>0.4</v>
      </c>
      <c r="D227">
        <v>0.1343</v>
      </c>
      <c r="E227">
        <v>4</v>
      </c>
      <c r="F227">
        <v>70</v>
      </c>
      <c r="G227">
        <v>74</v>
      </c>
    </row>
    <row r="228" spans="1:7" x14ac:dyDescent="0.3">
      <c r="A228">
        <v>227</v>
      </c>
      <c r="B228">
        <v>0.2273</v>
      </c>
      <c r="C228">
        <v>0.4</v>
      </c>
      <c r="D228">
        <v>0.1045</v>
      </c>
      <c r="E228">
        <v>4</v>
      </c>
      <c r="F228">
        <v>174</v>
      </c>
      <c r="G228">
        <v>178</v>
      </c>
    </row>
    <row r="229" spans="1:7" x14ac:dyDescent="0.3">
      <c r="A229">
        <v>228</v>
      </c>
      <c r="B229">
        <v>0.19700000000000001</v>
      </c>
      <c r="C229">
        <v>0.4</v>
      </c>
      <c r="D229">
        <v>0.22389999999999999</v>
      </c>
      <c r="E229">
        <v>1</v>
      </c>
      <c r="F229">
        <v>154</v>
      </c>
      <c r="G229">
        <v>155</v>
      </c>
    </row>
    <row r="230" spans="1:7" x14ac:dyDescent="0.3">
      <c r="A230">
        <v>229</v>
      </c>
      <c r="B230">
        <v>0.16669999999999999</v>
      </c>
      <c r="C230">
        <v>0.47</v>
      </c>
      <c r="D230">
        <v>0.16420000000000001</v>
      </c>
      <c r="E230">
        <v>3</v>
      </c>
      <c r="F230">
        <v>92</v>
      </c>
      <c r="G230">
        <v>95</v>
      </c>
    </row>
    <row r="231" spans="1:7" x14ac:dyDescent="0.3">
      <c r="A231">
        <v>230</v>
      </c>
      <c r="B231">
        <v>0.16669999999999999</v>
      </c>
      <c r="C231">
        <v>0.5</v>
      </c>
      <c r="D231">
        <v>0.16420000000000001</v>
      </c>
      <c r="E231">
        <v>1</v>
      </c>
      <c r="F231">
        <v>73</v>
      </c>
      <c r="G231">
        <v>74</v>
      </c>
    </row>
    <row r="232" spans="1:7" x14ac:dyDescent="0.3">
      <c r="A232">
        <v>231</v>
      </c>
      <c r="B232">
        <v>0.13639999999999999</v>
      </c>
      <c r="C232">
        <v>0.59</v>
      </c>
      <c r="D232">
        <v>0.19400000000000001</v>
      </c>
      <c r="E232">
        <v>1</v>
      </c>
      <c r="F232">
        <v>37</v>
      </c>
      <c r="G232">
        <v>38</v>
      </c>
    </row>
    <row r="233" spans="1:7" x14ac:dyDescent="0.3">
      <c r="A233">
        <v>232</v>
      </c>
      <c r="B233">
        <v>0.1515</v>
      </c>
      <c r="C233">
        <v>0.59</v>
      </c>
      <c r="D233">
        <v>0.16420000000000001</v>
      </c>
      <c r="E233">
        <v>2</v>
      </c>
      <c r="F233">
        <v>22</v>
      </c>
      <c r="G233">
        <v>24</v>
      </c>
    </row>
    <row r="234" spans="1:7" x14ac:dyDescent="0.3">
      <c r="A234">
        <v>233</v>
      </c>
      <c r="B234">
        <v>0.1515</v>
      </c>
      <c r="C234">
        <v>0.59</v>
      </c>
      <c r="D234">
        <v>0.16420000000000001</v>
      </c>
      <c r="E234">
        <v>0</v>
      </c>
      <c r="F234">
        <v>18</v>
      </c>
      <c r="G234">
        <v>18</v>
      </c>
    </row>
    <row r="235" spans="1:7" x14ac:dyDescent="0.3">
      <c r="A235">
        <v>234</v>
      </c>
      <c r="B235">
        <v>0.16669999999999999</v>
      </c>
      <c r="C235">
        <v>0.59</v>
      </c>
      <c r="D235">
        <v>0.1045</v>
      </c>
      <c r="E235">
        <v>2</v>
      </c>
      <c r="F235">
        <v>10</v>
      </c>
      <c r="G235">
        <v>12</v>
      </c>
    </row>
    <row r="236" spans="1:7" x14ac:dyDescent="0.3">
      <c r="A236">
        <v>235</v>
      </c>
      <c r="B236">
        <v>0.1515</v>
      </c>
      <c r="C236">
        <v>0.59</v>
      </c>
      <c r="D236">
        <v>0.16420000000000001</v>
      </c>
      <c r="E236">
        <v>0</v>
      </c>
      <c r="F236">
        <v>3</v>
      </c>
      <c r="G236">
        <v>3</v>
      </c>
    </row>
    <row r="237" spans="1:7" x14ac:dyDescent="0.3">
      <c r="A237">
        <v>236</v>
      </c>
      <c r="B237">
        <v>0.1515</v>
      </c>
      <c r="C237">
        <v>0.55000000000000004</v>
      </c>
      <c r="D237">
        <v>0.19400000000000001</v>
      </c>
      <c r="E237">
        <v>0</v>
      </c>
      <c r="F237">
        <v>3</v>
      </c>
      <c r="G237">
        <v>3</v>
      </c>
    </row>
    <row r="238" spans="1:7" x14ac:dyDescent="0.3">
      <c r="A238">
        <v>237</v>
      </c>
      <c r="B238">
        <v>0.18179999999999999</v>
      </c>
      <c r="C238">
        <v>0.55000000000000004</v>
      </c>
      <c r="D238">
        <v>0.1343</v>
      </c>
      <c r="E238">
        <v>0</v>
      </c>
      <c r="F238">
        <v>6</v>
      </c>
      <c r="G238">
        <v>6</v>
      </c>
    </row>
    <row r="239" spans="1:7" x14ac:dyDescent="0.3">
      <c r="A239">
        <v>238</v>
      </c>
      <c r="B239">
        <v>0.18179999999999999</v>
      </c>
      <c r="C239">
        <v>0.55000000000000004</v>
      </c>
      <c r="D239">
        <v>0.1343</v>
      </c>
      <c r="E239">
        <v>0</v>
      </c>
      <c r="F239">
        <v>27</v>
      </c>
      <c r="G239">
        <v>27</v>
      </c>
    </row>
    <row r="240" spans="1:7" x14ac:dyDescent="0.3">
      <c r="A240">
        <v>239</v>
      </c>
      <c r="B240">
        <v>0.2273</v>
      </c>
      <c r="C240">
        <v>0.55000000000000004</v>
      </c>
      <c r="D240">
        <v>0</v>
      </c>
      <c r="E240">
        <v>2</v>
      </c>
      <c r="F240">
        <v>97</v>
      </c>
      <c r="G240">
        <v>99</v>
      </c>
    </row>
    <row r="241" spans="1:7" x14ac:dyDescent="0.3">
      <c r="A241">
        <v>240</v>
      </c>
      <c r="B241">
        <v>0.21210000000000001</v>
      </c>
      <c r="C241">
        <v>0.51</v>
      </c>
      <c r="D241">
        <v>8.9599999999999999E-2</v>
      </c>
      <c r="E241">
        <v>3</v>
      </c>
      <c r="F241">
        <v>214</v>
      </c>
      <c r="G241">
        <v>217</v>
      </c>
    </row>
    <row r="242" spans="1:7" x14ac:dyDescent="0.3">
      <c r="A242">
        <v>241</v>
      </c>
      <c r="B242">
        <v>0.19700000000000001</v>
      </c>
      <c r="C242">
        <v>0.51</v>
      </c>
      <c r="D242">
        <v>0.16420000000000001</v>
      </c>
      <c r="E242">
        <v>3</v>
      </c>
      <c r="F242">
        <v>127</v>
      </c>
      <c r="G242">
        <v>130</v>
      </c>
    </row>
    <row r="243" spans="1:7" x14ac:dyDescent="0.3">
      <c r="A243">
        <v>242</v>
      </c>
      <c r="B243">
        <v>0.21210000000000001</v>
      </c>
      <c r="C243">
        <v>0.51</v>
      </c>
      <c r="D243">
        <v>0.16420000000000001</v>
      </c>
      <c r="E243">
        <v>3</v>
      </c>
      <c r="F243">
        <v>51</v>
      </c>
      <c r="G243">
        <v>54</v>
      </c>
    </row>
    <row r="244" spans="1:7" x14ac:dyDescent="0.3">
      <c r="A244">
        <v>243</v>
      </c>
      <c r="B244">
        <v>0.21210000000000001</v>
      </c>
      <c r="C244">
        <v>0.47</v>
      </c>
      <c r="D244">
        <v>0.1343</v>
      </c>
      <c r="E244">
        <v>4</v>
      </c>
      <c r="F244">
        <v>31</v>
      </c>
      <c r="G244">
        <v>35</v>
      </c>
    </row>
    <row r="245" spans="1:7" x14ac:dyDescent="0.3">
      <c r="A245">
        <v>244</v>
      </c>
      <c r="B245">
        <v>0.2273</v>
      </c>
      <c r="C245">
        <v>0.51</v>
      </c>
      <c r="D245">
        <v>0.1045</v>
      </c>
      <c r="E245">
        <v>2</v>
      </c>
      <c r="F245">
        <v>55</v>
      </c>
      <c r="G245">
        <v>57</v>
      </c>
    </row>
    <row r="246" spans="1:7" x14ac:dyDescent="0.3">
      <c r="A246">
        <v>245</v>
      </c>
      <c r="B246">
        <v>0.2273</v>
      </c>
      <c r="C246">
        <v>0.59</v>
      </c>
      <c r="D246">
        <v>8.9599999999999999E-2</v>
      </c>
      <c r="E246">
        <v>6</v>
      </c>
      <c r="F246">
        <v>46</v>
      </c>
      <c r="G246">
        <v>52</v>
      </c>
    </row>
    <row r="247" spans="1:7" x14ac:dyDescent="0.3">
      <c r="A247">
        <v>246</v>
      </c>
      <c r="B247">
        <v>0.2273</v>
      </c>
      <c r="C247">
        <v>0.59</v>
      </c>
      <c r="D247">
        <v>8.9599999999999999E-2</v>
      </c>
      <c r="E247">
        <v>3</v>
      </c>
      <c r="F247">
        <v>60</v>
      </c>
      <c r="G247">
        <v>63</v>
      </c>
    </row>
    <row r="248" spans="1:7" x14ac:dyDescent="0.3">
      <c r="A248">
        <v>247</v>
      </c>
      <c r="B248">
        <v>0.19700000000000001</v>
      </c>
      <c r="C248">
        <v>0.8</v>
      </c>
      <c r="D248">
        <v>8.9599999999999999E-2</v>
      </c>
      <c r="E248">
        <v>2</v>
      </c>
      <c r="F248">
        <v>45</v>
      </c>
      <c r="G248">
        <v>47</v>
      </c>
    </row>
    <row r="249" spans="1:7" x14ac:dyDescent="0.3">
      <c r="A249">
        <v>248</v>
      </c>
      <c r="B249">
        <v>0.1515</v>
      </c>
      <c r="C249">
        <v>0.86</v>
      </c>
      <c r="D249">
        <v>0.22389999999999999</v>
      </c>
      <c r="E249">
        <v>4</v>
      </c>
      <c r="F249">
        <v>72</v>
      </c>
      <c r="G249">
        <v>76</v>
      </c>
    </row>
    <row r="250" spans="1:7" x14ac:dyDescent="0.3">
      <c r="A250">
        <v>249</v>
      </c>
      <c r="B250">
        <v>0.1515</v>
      </c>
      <c r="C250">
        <v>0.86</v>
      </c>
      <c r="D250">
        <v>0.22389999999999999</v>
      </c>
      <c r="E250">
        <v>6</v>
      </c>
      <c r="F250">
        <v>130</v>
      </c>
      <c r="G250">
        <v>136</v>
      </c>
    </row>
    <row r="251" spans="1:7" x14ac:dyDescent="0.3">
      <c r="A251">
        <v>250</v>
      </c>
      <c r="B251">
        <v>0.18179999999999999</v>
      </c>
      <c r="C251">
        <v>0.93</v>
      </c>
      <c r="D251">
        <v>0.1045</v>
      </c>
      <c r="E251">
        <v>1</v>
      </c>
      <c r="F251">
        <v>94</v>
      </c>
      <c r="G251">
        <v>95</v>
      </c>
    </row>
    <row r="252" spans="1:7" x14ac:dyDescent="0.3">
      <c r="A252">
        <v>251</v>
      </c>
      <c r="B252">
        <v>0.2273</v>
      </c>
      <c r="C252">
        <v>0.93</v>
      </c>
      <c r="D252">
        <v>0</v>
      </c>
      <c r="E252">
        <v>0</v>
      </c>
      <c r="F252">
        <v>51</v>
      </c>
      <c r="G252">
        <v>51</v>
      </c>
    </row>
    <row r="253" spans="1:7" x14ac:dyDescent="0.3">
      <c r="A253">
        <v>252</v>
      </c>
      <c r="B253">
        <v>0.1515</v>
      </c>
      <c r="C253">
        <v>0.93</v>
      </c>
      <c r="D253">
        <v>0.19400000000000001</v>
      </c>
      <c r="E253">
        <v>0</v>
      </c>
      <c r="F253">
        <v>32</v>
      </c>
      <c r="G253">
        <v>32</v>
      </c>
    </row>
    <row r="254" spans="1:7" x14ac:dyDescent="0.3">
      <c r="A254">
        <v>253</v>
      </c>
      <c r="B254">
        <v>0.19700000000000001</v>
      </c>
      <c r="C254">
        <v>0.86</v>
      </c>
      <c r="D254">
        <v>8.9599999999999999E-2</v>
      </c>
      <c r="E254">
        <v>0</v>
      </c>
      <c r="F254">
        <v>20</v>
      </c>
      <c r="G254">
        <v>20</v>
      </c>
    </row>
    <row r="255" spans="1:7" x14ac:dyDescent="0.3">
      <c r="A255">
        <v>254</v>
      </c>
      <c r="B255">
        <v>0.18179999999999999</v>
      </c>
      <c r="C255">
        <v>0.93</v>
      </c>
      <c r="D255">
        <v>0.1045</v>
      </c>
      <c r="E255">
        <v>1</v>
      </c>
      <c r="F255">
        <v>28</v>
      </c>
      <c r="G255">
        <v>29</v>
      </c>
    </row>
    <row r="256" spans="1:7" x14ac:dyDescent="0.3">
      <c r="A256">
        <v>255</v>
      </c>
      <c r="B256">
        <v>0.19700000000000001</v>
      </c>
      <c r="C256">
        <v>0.93</v>
      </c>
      <c r="D256">
        <v>8.9599999999999999E-2</v>
      </c>
      <c r="E256">
        <v>1</v>
      </c>
      <c r="F256">
        <v>18</v>
      </c>
      <c r="G256">
        <v>19</v>
      </c>
    </row>
    <row r="257" spans="1:7" x14ac:dyDescent="0.3">
      <c r="A257">
        <v>256</v>
      </c>
      <c r="B257">
        <v>0.19700000000000001</v>
      </c>
      <c r="C257">
        <v>0.86</v>
      </c>
      <c r="D257">
        <v>8.9599999999999999E-2</v>
      </c>
      <c r="E257">
        <v>0</v>
      </c>
      <c r="F257">
        <v>7</v>
      </c>
      <c r="G257">
        <v>7</v>
      </c>
    </row>
    <row r="258" spans="1:7" x14ac:dyDescent="0.3">
      <c r="A258">
        <v>257</v>
      </c>
      <c r="B258">
        <v>0.18179999999999999</v>
      </c>
      <c r="C258">
        <v>0.86</v>
      </c>
      <c r="D258">
        <v>0.1045</v>
      </c>
      <c r="E258">
        <v>0</v>
      </c>
      <c r="F258">
        <v>6</v>
      </c>
      <c r="G258">
        <v>6</v>
      </c>
    </row>
    <row r="259" spans="1:7" x14ac:dyDescent="0.3">
      <c r="A259">
        <v>258</v>
      </c>
      <c r="B259">
        <v>0.1515</v>
      </c>
      <c r="C259">
        <v>0.86</v>
      </c>
      <c r="D259">
        <v>0.1343</v>
      </c>
      <c r="E259">
        <v>0</v>
      </c>
      <c r="F259">
        <v>1</v>
      </c>
      <c r="G259">
        <v>1</v>
      </c>
    </row>
    <row r="260" spans="1:7" x14ac:dyDescent="0.3">
      <c r="A260">
        <v>259</v>
      </c>
      <c r="B260">
        <v>0.1515</v>
      </c>
      <c r="C260">
        <v>0.86</v>
      </c>
      <c r="D260">
        <v>0.16420000000000001</v>
      </c>
      <c r="E260">
        <v>0</v>
      </c>
      <c r="F260">
        <v>5</v>
      </c>
      <c r="G260">
        <v>5</v>
      </c>
    </row>
    <row r="261" spans="1:7" x14ac:dyDescent="0.3">
      <c r="A261">
        <v>260</v>
      </c>
      <c r="B261">
        <v>0.1515</v>
      </c>
      <c r="C261">
        <v>0.93</v>
      </c>
      <c r="D261">
        <v>0.1343</v>
      </c>
      <c r="E261">
        <v>0</v>
      </c>
      <c r="F261">
        <v>16</v>
      </c>
      <c r="G261">
        <v>16</v>
      </c>
    </row>
    <row r="262" spans="1:7" x14ac:dyDescent="0.3">
      <c r="A262">
        <v>261</v>
      </c>
      <c r="B262">
        <v>0.1515</v>
      </c>
      <c r="C262">
        <v>0.69</v>
      </c>
      <c r="D262">
        <v>0.1343</v>
      </c>
      <c r="E262">
        <v>0</v>
      </c>
      <c r="F262">
        <v>54</v>
      </c>
      <c r="G262">
        <v>54</v>
      </c>
    </row>
    <row r="263" spans="1:7" x14ac:dyDescent="0.3">
      <c r="A263">
        <v>262</v>
      </c>
      <c r="B263">
        <v>0.16669999999999999</v>
      </c>
      <c r="C263">
        <v>0.59</v>
      </c>
      <c r="D263">
        <v>0.16420000000000001</v>
      </c>
      <c r="E263">
        <v>3</v>
      </c>
      <c r="F263">
        <v>125</v>
      </c>
      <c r="G263">
        <v>128</v>
      </c>
    </row>
    <row r="264" spans="1:7" x14ac:dyDescent="0.3">
      <c r="A264">
        <v>263</v>
      </c>
      <c r="B264">
        <v>0.13639999999999999</v>
      </c>
      <c r="C264">
        <v>0.59</v>
      </c>
      <c r="D264">
        <v>0.32840000000000003</v>
      </c>
      <c r="E264">
        <v>3</v>
      </c>
      <c r="F264">
        <v>78</v>
      </c>
      <c r="G264">
        <v>81</v>
      </c>
    </row>
    <row r="265" spans="1:7" x14ac:dyDescent="0.3">
      <c r="A265">
        <v>264</v>
      </c>
      <c r="B265">
        <v>0.18179999999999999</v>
      </c>
      <c r="C265">
        <v>0.55000000000000004</v>
      </c>
      <c r="D265">
        <v>0.22389999999999999</v>
      </c>
      <c r="E265">
        <v>0</v>
      </c>
      <c r="F265">
        <v>39</v>
      </c>
      <c r="G265">
        <v>39</v>
      </c>
    </row>
    <row r="266" spans="1:7" x14ac:dyDescent="0.3">
      <c r="A266">
        <v>265</v>
      </c>
      <c r="B266">
        <v>0.18179999999999999</v>
      </c>
      <c r="C266">
        <v>0.51</v>
      </c>
      <c r="D266">
        <v>0.3881</v>
      </c>
      <c r="E266">
        <v>3</v>
      </c>
      <c r="F266">
        <v>32</v>
      </c>
      <c r="G266">
        <v>35</v>
      </c>
    </row>
    <row r="267" spans="1:7" x14ac:dyDescent="0.3">
      <c r="A267">
        <v>266</v>
      </c>
      <c r="B267">
        <v>0.1515</v>
      </c>
      <c r="C267">
        <v>0.47</v>
      </c>
      <c r="D267">
        <v>0.58209999999999995</v>
      </c>
      <c r="E267">
        <v>3</v>
      </c>
      <c r="F267">
        <v>52</v>
      </c>
      <c r="G267">
        <v>55</v>
      </c>
    </row>
    <row r="268" spans="1:7" x14ac:dyDescent="0.3">
      <c r="A268">
        <v>267</v>
      </c>
      <c r="B268">
        <v>0.19700000000000001</v>
      </c>
      <c r="C268">
        <v>0.44</v>
      </c>
      <c r="D268">
        <v>0.35820000000000002</v>
      </c>
      <c r="E268">
        <v>0</v>
      </c>
      <c r="F268">
        <v>49</v>
      </c>
      <c r="G268">
        <v>49</v>
      </c>
    </row>
    <row r="269" spans="1:7" x14ac:dyDescent="0.3">
      <c r="A269">
        <v>268</v>
      </c>
      <c r="B269">
        <v>0.18179999999999999</v>
      </c>
      <c r="C269">
        <v>0.47</v>
      </c>
      <c r="D269">
        <v>0.32840000000000003</v>
      </c>
      <c r="E269">
        <v>0</v>
      </c>
      <c r="F269">
        <v>44</v>
      </c>
      <c r="G269">
        <v>44</v>
      </c>
    </row>
    <row r="270" spans="1:7" x14ac:dyDescent="0.3">
      <c r="A270">
        <v>269</v>
      </c>
      <c r="B270">
        <v>0.16669999999999999</v>
      </c>
      <c r="C270">
        <v>0.47</v>
      </c>
      <c r="D270">
        <v>0.41789999999999999</v>
      </c>
      <c r="E270">
        <v>1</v>
      </c>
      <c r="F270">
        <v>48</v>
      </c>
      <c r="G270">
        <v>49</v>
      </c>
    </row>
    <row r="271" spans="1:7" x14ac:dyDescent="0.3">
      <c r="A271">
        <v>270</v>
      </c>
      <c r="B271">
        <v>0.19700000000000001</v>
      </c>
      <c r="C271">
        <v>0.44</v>
      </c>
      <c r="D271">
        <v>0.32840000000000003</v>
      </c>
      <c r="E271">
        <v>5</v>
      </c>
      <c r="F271">
        <v>63</v>
      </c>
      <c r="G271">
        <v>68</v>
      </c>
    </row>
    <row r="272" spans="1:7" x14ac:dyDescent="0.3">
      <c r="A272">
        <v>271</v>
      </c>
      <c r="B272">
        <v>0.18179999999999999</v>
      </c>
      <c r="C272">
        <v>0.47</v>
      </c>
      <c r="D272">
        <v>0.35820000000000002</v>
      </c>
      <c r="E272">
        <v>0</v>
      </c>
      <c r="F272">
        <v>139</v>
      </c>
      <c r="G272">
        <v>139</v>
      </c>
    </row>
    <row r="273" spans="1:7" x14ac:dyDescent="0.3">
      <c r="A273">
        <v>272</v>
      </c>
      <c r="B273">
        <v>0.1515</v>
      </c>
      <c r="C273">
        <v>0.47</v>
      </c>
      <c r="D273">
        <v>0.52239999999999998</v>
      </c>
      <c r="E273">
        <v>2</v>
      </c>
      <c r="F273">
        <v>135</v>
      </c>
      <c r="G273">
        <v>137</v>
      </c>
    </row>
    <row r="274" spans="1:7" x14ac:dyDescent="0.3">
      <c r="A274">
        <v>273</v>
      </c>
      <c r="B274">
        <v>0.1515</v>
      </c>
      <c r="C274">
        <v>0.47</v>
      </c>
      <c r="D274">
        <v>0.41789999999999999</v>
      </c>
      <c r="E274">
        <v>1</v>
      </c>
      <c r="F274">
        <v>82</v>
      </c>
      <c r="G274">
        <v>83</v>
      </c>
    </row>
    <row r="275" spans="1:7" x14ac:dyDescent="0.3">
      <c r="A275">
        <v>274</v>
      </c>
      <c r="B275">
        <v>0.13639999999999999</v>
      </c>
      <c r="C275">
        <v>0.5</v>
      </c>
      <c r="D275">
        <v>0.32840000000000003</v>
      </c>
      <c r="E275">
        <v>2</v>
      </c>
      <c r="F275">
        <v>54</v>
      </c>
      <c r="G275">
        <v>56</v>
      </c>
    </row>
    <row r="276" spans="1:7" x14ac:dyDescent="0.3">
      <c r="A276">
        <v>275</v>
      </c>
      <c r="B276">
        <v>0.13639999999999999</v>
      </c>
      <c r="C276">
        <v>0.55000000000000004</v>
      </c>
      <c r="D276">
        <v>0.32840000000000003</v>
      </c>
      <c r="E276">
        <v>0</v>
      </c>
      <c r="F276">
        <v>57</v>
      </c>
      <c r="G276">
        <v>57</v>
      </c>
    </row>
    <row r="277" spans="1:7" x14ac:dyDescent="0.3">
      <c r="A277">
        <v>276</v>
      </c>
      <c r="B277">
        <v>0.1212</v>
      </c>
      <c r="C277">
        <v>0.55000000000000004</v>
      </c>
      <c r="D277">
        <v>0.44779999999999998</v>
      </c>
      <c r="E277">
        <v>1</v>
      </c>
      <c r="F277">
        <v>32</v>
      </c>
      <c r="G277">
        <v>33</v>
      </c>
    </row>
    <row r="278" spans="1:7" x14ac:dyDescent="0.3">
      <c r="A278">
        <v>277</v>
      </c>
      <c r="B278">
        <v>0.1061</v>
      </c>
      <c r="C278">
        <v>0.59</v>
      </c>
      <c r="D278">
        <v>0.41789999999999999</v>
      </c>
      <c r="E278">
        <v>1</v>
      </c>
      <c r="F278">
        <v>19</v>
      </c>
      <c r="G278">
        <v>20</v>
      </c>
    </row>
    <row r="279" spans="1:7" x14ac:dyDescent="0.3">
      <c r="A279">
        <v>278</v>
      </c>
      <c r="B279">
        <v>0.1212</v>
      </c>
      <c r="C279">
        <v>0.59</v>
      </c>
      <c r="D279">
        <v>0.28360000000000002</v>
      </c>
      <c r="E279">
        <v>1</v>
      </c>
      <c r="F279">
        <v>6</v>
      </c>
      <c r="G279">
        <v>7</v>
      </c>
    </row>
    <row r="280" spans="1:7" x14ac:dyDescent="0.3">
      <c r="A280">
        <v>279</v>
      </c>
      <c r="B280">
        <v>0.1212</v>
      </c>
      <c r="C280">
        <v>0.5</v>
      </c>
      <c r="D280">
        <v>0.28360000000000002</v>
      </c>
      <c r="E280">
        <v>0</v>
      </c>
      <c r="F280">
        <v>2</v>
      </c>
      <c r="G280">
        <v>2</v>
      </c>
    </row>
    <row r="281" spans="1:7" x14ac:dyDescent="0.3">
      <c r="A281">
        <v>280</v>
      </c>
      <c r="B281">
        <v>0.1212</v>
      </c>
      <c r="C281">
        <v>0.5</v>
      </c>
      <c r="D281">
        <v>0.35820000000000002</v>
      </c>
      <c r="E281">
        <v>0</v>
      </c>
      <c r="F281">
        <v>2</v>
      </c>
      <c r="G281">
        <v>2</v>
      </c>
    </row>
    <row r="282" spans="1:7" x14ac:dyDescent="0.3">
      <c r="A282">
        <v>281</v>
      </c>
      <c r="B282">
        <v>0.1212</v>
      </c>
      <c r="C282">
        <v>0.5</v>
      </c>
      <c r="D282">
        <v>0.32840000000000003</v>
      </c>
      <c r="E282">
        <v>0</v>
      </c>
      <c r="F282">
        <v>3</v>
      </c>
      <c r="G282">
        <v>3</v>
      </c>
    </row>
    <row r="283" spans="1:7" x14ac:dyDescent="0.3">
      <c r="A283">
        <v>282</v>
      </c>
      <c r="B283">
        <v>0.1212</v>
      </c>
      <c r="C283">
        <v>0.5</v>
      </c>
      <c r="D283">
        <v>0.25369999999999998</v>
      </c>
      <c r="E283">
        <v>0</v>
      </c>
      <c r="F283">
        <v>4</v>
      </c>
      <c r="G283">
        <v>4</v>
      </c>
    </row>
    <row r="284" spans="1:7" x14ac:dyDescent="0.3">
      <c r="A284">
        <v>283</v>
      </c>
      <c r="B284">
        <v>0.1212</v>
      </c>
      <c r="C284">
        <v>0.5</v>
      </c>
      <c r="D284">
        <v>0.29849999999999999</v>
      </c>
      <c r="E284">
        <v>0</v>
      </c>
      <c r="F284">
        <v>3</v>
      </c>
      <c r="G284">
        <v>3</v>
      </c>
    </row>
    <row r="285" spans="1:7" x14ac:dyDescent="0.3">
      <c r="A285">
        <v>284</v>
      </c>
      <c r="B285">
        <v>0.1515</v>
      </c>
      <c r="C285">
        <v>0.54</v>
      </c>
      <c r="D285">
        <v>0.1343</v>
      </c>
      <c r="E285">
        <v>0</v>
      </c>
      <c r="F285">
        <v>28</v>
      </c>
      <c r="G285">
        <v>28</v>
      </c>
    </row>
    <row r="286" spans="1:7" x14ac:dyDescent="0.3">
      <c r="A286">
        <v>285</v>
      </c>
      <c r="B286">
        <v>0.1515</v>
      </c>
      <c r="C286">
        <v>0.54</v>
      </c>
      <c r="D286">
        <v>0.1343</v>
      </c>
      <c r="E286">
        <v>0</v>
      </c>
      <c r="F286">
        <v>72</v>
      </c>
      <c r="G286">
        <v>72</v>
      </c>
    </row>
    <row r="287" spans="1:7" x14ac:dyDescent="0.3">
      <c r="A287">
        <v>286</v>
      </c>
      <c r="B287">
        <v>0.13639999999999999</v>
      </c>
      <c r="C287">
        <v>0.5</v>
      </c>
      <c r="D287">
        <v>0.19400000000000001</v>
      </c>
      <c r="E287">
        <v>5</v>
      </c>
      <c r="F287">
        <v>197</v>
      </c>
      <c r="G287">
        <v>202</v>
      </c>
    </row>
    <row r="288" spans="1:7" x14ac:dyDescent="0.3">
      <c r="A288">
        <v>287</v>
      </c>
      <c r="B288">
        <v>0.1212</v>
      </c>
      <c r="C288">
        <v>0.5</v>
      </c>
      <c r="D288">
        <v>0.32840000000000003</v>
      </c>
      <c r="E288">
        <v>2</v>
      </c>
      <c r="F288">
        <v>137</v>
      </c>
      <c r="G288">
        <v>139</v>
      </c>
    </row>
    <row r="289" spans="1:7" x14ac:dyDescent="0.3">
      <c r="A289">
        <v>288</v>
      </c>
      <c r="B289">
        <v>0.13639999999999999</v>
      </c>
      <c r="C289">
        <v>0.5</v>
      </c>
      <c r="D289">
        <v>0.35820000000000002</v>
      </c>
      <c r="E289">
        <v>2</v>
      </c>
      <c r="F289">
        <v>36</v>
      </c>
      <c r="G289">
        <v>38</v>
      </c>
    </row>
    <row r="290" spans="1:7" x14ac:dyDescent="0.3">
      <c r="A290">
        <v>289</v>
      </c>
      <c r="B290">
        <v>0.16669999999999999</v>
      </c>
      <c r="C290">
        <v>0.44</v>
      </c>
      <c r="D290">
        <v>0.44779999999999998</v>
      </c>
      <c r="E290">
        <v>4</v>
      </c>
      <c r="F290">
        <v>33</v>
      </c>
      <c r="G290">
        <v>37</v>
      </c>
    </row>
    <row r="291" spans="1:7" x14ac:dyDescent="0.3">
      <c r="A291">
        <v>290</v>
      </c>
      <c r="B291">
        <v>0.16669999999999999</v>
      </c>
      <c r="C291">
        <v>0.44</v>
      </c>
      <c r="D291">
        <v>0.41789999999999999</v>
      </c>
      <c r="E291">
        <v>3</v>
      </c>
      <c r="F291">
        <v>49</v>
      </c>
      <c r="G291">
        <v>52</v>
      </c>
    </row>
    <row r="292" spans="1:7" x14ac:dyDescent="0.3">
      <c r="A292">
        <v>291</v>
      </c>
      <c r="B292">
        <v>0.19700000000000001</v>
      </c>
      <c r="C292">
        <v>0.41</v>
      </c>
      <c r="D292">
        <v>0.44779999999999998</v>
      </c>
      <c r="E292">
        <v>2</v>
      </c>
      <c r="F292">
        <v>81</v>
      </c>
      <c r="G292">
        <v>83</v>
      </c>
    </row>
    <row r="293" spans="1:7" x14ac:dyDescent="0.3">
      <c r="A293">
        <v>292</v>
      </c>
      <c r="B293">
        <v>0.19700000000000001</v>
      </c>
      <c r="C293">
        <v>0.41</v>
      </c>
      <c r="D293">
        <v>0.3881</v>
      </c>
      <c r="E293">
        <v>3</v>
      </c>
      <c r="F293">
        <v>39</v>
      </c>
      <c r="G293">
        <v>42</v>
      </c>
    </row>
    <row r="294" spans="1:7" x14ac:dyDescent="0.3">
      <c r="A294">
        <v>293</v>
      </c>
      <c r="B294">
        <v>0.21210000000000001</v>
      </c>
      <c r="C294">
        <v>0.38</v>
      </c>
      <c r="D294">
        <v>0.29849999999999999</v>
      </c>
      <c r="E294">
        <v>5</v>
      </c>
      <c r="F294">
        <v>55</v>
      </c>
      <c r="G294">
        <v>60</v>
      </c>
    </row>
    <row r="295" spans="1:7" x14ac:dyDescent="0.3">
      <c r="A295">
        <v>294</v>
      </c>
      <c r="B295">
        <v>0.21210000000000001</v>
      </c>
      <c r="C295">
        <v>0.38</v>
      </c>
      <c r="D295">
        <v>0.35820000000000002</v>
      </c>
      <c r="E295">
        <v>2</v>
      </c>
      <c r="F295">
        <v>76</v>
      </c>
      <c r="G295">
        <v>78</v>
      </c>
    </row>
    <row r="296" spans="1:7" x14ac:dyDescent="0.3">
      <c r="A296">
        <v>295</v>
      </c>
      <c r="B296">
        <v>0.18179999999999999</v>
      </c>
      <c r="C296">
        <v>0.4</v>
      </c>
      <c r="D296">
        <v>0.28360000000000002</v>
      </c>
      <c r="E296">
        <v>4</v>
      </c>
      <c r="F296">
        <v>158</v>
      </c>
      <c r="G296">
        <v>162</v>
      </c>
    </row>
    <row r="297" spans="1:7" x14ac:dyDescent="0.3">
      <c r="A297">
        <v>296</v>
      </c>
      <c r="B297">
        <v>0.18179999999999999</v>
      </c>
      <c r="C297">
        <v>0.4</v>
      </c>
      <c r="D297">
        <v>0.32840000000000003</v>
      </c>
      <c r="E297">
        <v>3</v>
      </c>
      <c r="F297">
        <v>141</v>
      </c>
      <c r="G297">
        <v>144</v>
      </c>
    </row>
    <row r="298" spans="1:7" x14ac:dyDescent="0.3">
      <c r="A298">
        <v>297</v>
      </c>
      <c r="B298">
        <v>0.1515</v>
      </c>
      <c r="C298">
        <v>0.47</v>
      </c>
      <c r="D298">
        <v>0.25369999999999998</v>
      </c>
      <c r="E298">
        <v>1</v>
      </c>
      <c r="F298">
        <v>98</v>
      </c>
      <c r="G298">
        <v>99</v>
      </c>
    </row>
    <row r="299" spans="1:7" x14ac:dyDescent="0.3">
      <c r="A299">
        <v>298</v>
      </c>
      <c r="B299">
        <v>0.1515</v>
      </c>
      <c r="C299">
        <v>0.47</v>
      </c>
      <c r="D299">
        <v>0.22389999999999999</v>
      </c>
      <c r="E299">
        <v>0</v>
      </c>
      <c r="F299">
        <v>64</v>
      </c>
      <c r="G299">
        <v>64</v>
      </c>
    </row>
    <row r="300" spans="1:7" x14ac:dyDescent="0.3">
      <c r="A300">
        <v>299</v>
      </c>
      <c r="B300">
        <v>0.1212</v>
      </c>
      <c r="C300">
        <v>0.46</v>
      </c>
      <c r="D300">
        <v>0.29849999999999999</v>
      </c>
      <c r="E300">
        <v>0</v>
      </c>
      <c r="F300">
        <v>40</v>
      </c>
      <c r="G300">
        <v>40</v>
      </c>
    </row>
    <row r="301" spans="1:7" x14ac:dyDescent="0.3">
      <c r="A301">
        <v>300</v>
      </c>
      <c r="B301">
        <v>0.1212</v>
      </c>
      <c r="C301">
        <v>0.46</v>
      </c>
      <c r="D301">
        <v>0.32840000000000003</v>
      </c>
      <c r="E301">
        <v>0</v>
      </c>
      <c r="F301">
        <v>30</v>
      </c>
      <c r="G301">
        <v>30</v>
      </c>
    </row>
    <row r="302" spans="1:7" x14ac:dyDescent="0.3">
      <c r="A302">
        <v>301</v>
      </c>
      <c r="B302">
        <v>0.13639999999999999</v>
      </c>
      <c r="C302">
        <v>0.5</v>
      </c>
      <c r="D302">
        <v>0.19400000000000001</v>
      </c>
      <c r="E302">
        <v>1</v>
      </c>
      <c r="F302">
        <v>14</v>
      </c>
      <c r="G302">
        <v>15</v>
      </c>
    </row>
    <row r="303" spans="1:7" x14ac:dyDescent="0.3">
      <c r="A303">
        <v>302</v>
      </c>
      <c r="B303">
        <v>0.13639999999999999</v>
      </c>
      <c r="C303">
        <v>0.5</v>
      </c>
      <c r="D303">
        <v>0.19400000000000001</v>
      </c>
      <c r="E303">
        <v>0</v>
      </c>
      <c r="F303">
        <v>14</v>
      </c>
      <c r="G303">
        <v>14</v>
      </c>
    </row>
    <row r="304" spans="1:7" x14ac:dyDescent="0.3">
      <c r="A304">
        <v>303</v>
      </c>
      <c r="B304">
        <v>0.1212</v>
      </c>
      <c r="C304">
        <v>0.54</v>
      </c>
      <c r="D304">
        <v>0.16420000000000001</v>
      </c>
      <c r="E304">
        <v>0</v>
      </c>
      <c r="F304">
        <v>5</v>
      </c>
      <c r="G304">
        <v>5</v>
      </c>
    </row>
    <row r="305" spans="1:7" x14ac:dyDescent="0.3">
      <c r="A305">
        <v>304</v>
      </c>
      <c r="B305">
        <v>0.1212</v>
      </c>
      <c r="C305">
        <v>0.54</v>
      </c>
      <c r="D305">
        <v>0.1343</v>
      </c>
      <c r="E305">
        <v>0</v>
      </c>
      <c r="F305">
        <v>1</v>
      </c>
      <c r="G305">
        <v>1</v>
      </c>
    </row>
    <row r="306" spans="1:7" x14ac:dyDescent="0.3">
      <c r="A306">
        <v>305</v>
      </c>
      <c r="B306">
        <v>0.13639999999999999</v>
      </c>
      <c r="C306">
        <v>0.54</v>
      </c>
      <c r="D306">
        <v>0.1045</v>
      </c>
      <c r="E306">
        <v>0</v>
      </c>
      <c r="F306">
        <v>1</v>
      </c>
      <c r="G306">
        <v>1</v>
      </c>
    </row>
    <row r="307" spans="1:7" x14ac:dyDescent="0.3">
      <c r="A307">
        <v>306</v>
      </c>
      <c r="B307">
        <v>0.13639999999999999</v>
      </c>
      <c r="C307">
        <v>0.54</v>
      </c>
      <c r="D307">
        <v>8.9599999999999999E-2</v>
      </c>
      <c r="E307">
        <v>0</v>
      </c>
      <c r="F307">
        <v>8</v>
      </c>
      <c r="G307">
        <v>8</v>
      </c>
    </row>
    <row r="308" spans="1:7" x14ac:dyDescent="0.3">
      <c r="A308">
        <v>307</v>
      </c>
      <c r="B308">
        <v>0.18179999999999999</v>
      </c>
      <c r="C308">
        <v>0.54</v>
      </c>
      <c r="D308">
        <v>0</v>
      </c>
      <c r="E308">
        <v>0</v>
      </c>
      <c r="F308">
        <v>17</v>
      </c>
      <c r="G308">
        <v>17</v>
      </c>
    </row>
    <row r="309" spans="1:7" x14ac:dyDescent="0.3">
      <c r="A309">
        <v>308</v>
      </c>
      <c r="B309">
        <v>0.1212</v>
      </c>
      <c r="C309">
        <v>0.74</v>
      </c>
      <c r="D309">
        <v>0.16420000000000001</v>
      </c>
      <c r="E309">
        <v>0</v>
      </c>
      <c r="F309">
        <v>70</v>
      </c>
      <c r="G309">
        <v>70</v>
      </c>
    </row>
    <row r="310" spans="1:7" x14ac:dyDescent="0.3">
      <c r="A310">
        <v>309</v>
      </c>
      <c r="B310">
        <v>0.16669999999999999</v>
      </c>
      <c r="C310">
        <v>0.68</v>
      </c>
      <c r="D310">
        <v>0</v>
      </c>
      <c r="E310">
        <v>2</v>
      </c>
      <c r="F310">
        <v>156</v>
      </c>
      <c r="G310">
        <v>158</v>
      </c>
    </row>
    <row r="311" spans="1:7" x14ac:dyDescent="0.3">
      <c r="A311">
        <v>310</v>
      </c>
      <c r="B311">
        <v>0.1515</v>
      </c>
      <c r="C311">
        <v>0.69</v>
      </c>
      <c r="D311">
        <v>0.1343</v>
      </c>
      <c r="E311">
        <v>0</v>
      </c>
      <c r="F311">
        <v>117</v>
      </c>
      <c r="G311">
        <v>117</v>
      </c>
    </row>
    <row r="312" spans="1:7" x14ac:dyDescent="0.3">
      <c r="A312">
        <v>311</v>
      </c>
      <c r="B312">
        <v>0.18179999999999999</v>
      </c>
      <c r="C312">
        <v>0.55000000000000004</v>
      </c>
      <c r="D312">
        <v>0.19400000000000001</v>
      </c>
      <c r="E312">
        <v>4</v>
      </c>
      <c r="F312">
        <v>40</v>
      </c>
      <c r="G312">
        <v>44</v>
      </c>
    </row>
    <row r="313" spans="1:7" x14ac:dyDescent="0.3">
      <c r="A313">
        <v>312</v>
      </c>
      <c r="B313">
        <v>0.16669999999999999</v>
      </c>
      <c r="C313">
        <v>0.51</v>
      </c>
      <c r="D313">
        <v>0.28360000000000002</v>
      </c>
      <c r="E313">
        <v>6</v>
      </c>
      <c r="F313">
        <v>47</v>
      </c>
      <c r="G313">
        <v>53</v>
      </c>
    </row>
    <row r="314" spans="1:7" x14ac:dyDescent="0.3">
      <c r="A314">
        <v>313</v>
      </c>
      <c r="B314">
        <v>0.19700000000000001</v>
      </c>
      <c r="C314">
        <v>0.44</v>
      </c>
      <c r="D314">
        <v>0.25369999999999998</v>
      </c>
      <c r="E314">
        <v>2</v>
      </c>
      <c r="F314">
        <v>59</v>
      </c>
      <c r="G314">
        <v>61</v>
      </c>
    </row>
    <row r="315" spans="1:7" x14ac:dyDescent="0.3">
      <c r="A315">
        <v>314</v>
      </c>
      <c r="B315">
        <v>0.19700000000000001</v>
      </c>
      <c r="C315">
        <v>0.37</v>
      </c>
      <c r="D315">
        <v>0.3881</v>
      </c>
      <c r="E315">
        <v>4</v>
      </c>
      <c r="F315">
        <v>73</v>
      </c>
      <c r="G315">
        <v>77</v>
      </c>
    </row>
    <row r="316" spans="1:7" x14ac:dyDescent="0.3">
      <c r="A316">
        <v>315</v>
      </c>
      <c r="B316">
        <v>0.21210000000000001</v>
      </c>
      <c r="C316">
        <v>0.41</v>
      </c>
      <c r="D316">
        <v>0.28360000000000002</v>
      </c>
      <c r="E316">
        <v>5</v>
      </c>
      <c r="F316">
        <v>59</v>
      </c>
      <c r="G316">
        <v>64</v>
      </c>
    </row>
    <row r="317" spans="1:7" x14ac:dyDescent="0.3">
      <c r="A317">
        <v>316</v>
      </c>
      <c r="B317">
        <v>0.2424</v>
      </c>
      <c r="C317">
        <v>0.38</v>
      </c>
      <c r="D317">
        <v>0.16420000000000001</v>
      </c>
      <c r="E317">
        <v>9</v>
      </c>
      <c r="F317">
        <v>59</v>
      </c>
      <c r="G317">
        <v>68</v>
      </c>
    </row>
    <row r="318" spans="1:7" x14ac:dyDescent="0.3">
      <c r="A318">
        <v>317</v>
      </c>
      <c r="B318">
        <v>0.2424</v>
      </c>
      <c r="C318">
        <v>0.41</v>
      </c>
      <c r="D318">
        <v>0.1045</v>
      </c>
      <c r="E318">
        <v>3</v>
      </c>
      <c r="F318">
        <v>87</v>
      </c>
      <c r="G318">
        <v>90</v>
      </c>
    </row>
    <row r="319" spans="1:7" x14ac:dyDescent="0.3">
      <c r="A319">
        <v>318</v>
      </c>
      <c r="B319">
        <v>0.2273</v>
      </c>
      <c r="C319">
        <v>0.41</v>
      </c>
      <c r="D319">
        <v>0.16420000000000001</v>
      </c>
      <c r="E319">
        <v>4</v>
      </c>
      <c r="F319">
        <v>155</v>
      </c>
      <c r="G319">
        <v>159</v>
      </c>
    </row>
    <row r="320" spans="1:7" x14ac:dyDescent="0.3">
      <c r="A320">
        <v>319</v>
      </c>
      <c r="B320">
        <v>0.2576</v>
      </c>
      <c r="C320">
        <v>0.47</v>
      </c>
      <c r="D320">
        <v>0</v>
      </c>
      <c r="E320">
        <v>5</v>
      </c>
      <c r="F320">
        <v>134</v>
      </c>
      <c r="G320">
        <v>139</v>
      </c>
    </row>
    <row r="321" spans="1:7" x14ac:dyDescent="0.3">
      <c r="A321">
        <v>320</v>
      </c>
      <c r="B321">
        <v>0.19700000000000001</v>
      </c>
      <c r="C321">
        <v>0.59</v>
      </c>
      <c r="D321">
        <v>8.9599999999999999E-2</v>
      </c>
      <c r="E321">
        <v>3</v>
      </c>
      <c r="F321">
        <v>89</v>
      </c>
      <c r="G321">
        <v>92</v>
      </c>
    </row>
    <row r="322" spans="1:7" x14ac:dyDescent="0.3">
      <c r="A322">
        <v>321</v>
      </c>
      <c r="B322">
        <v>0.2424</v>
      </c>
      <c r="C322">
        <v>0.59</v>
      </c>
      <c r="D322">
        <v>0</v>
      </c>
      <c r="E322">
        <v>0</v>
      </c>
      <c r="F322">
        <v>68</v>
      </c>
      <c r="G322">
        <v>68</v>
      </c>
    </row>
    <row r="323" spans="1:7" x14ac:dyDescent="0.3">
      <c r="A323">
        <v>322</v>
      </c>
      <c r="B323">
        <v>0.2273</v>
      </c>
      <c r="C323">
        <v>0.69</v>
      </c>
      <c r="D323">
        <v>0</v>
      </c>
      <c r="E323">
        <v>4</v>
      </c>
      <c r="F323">
        <v>48</v>
      </c>
      <c r="G323">
        <v>52</v>
      </c>
    </row>
    <row r="324" spans="1:7" x14ac:dyDescent="0.3">
      <c r="A324">
        <v>323</v>
      </c>
      <c r="B324">
        <v>0.2273</v>
      </c>
      <c r="C324">
        <v>0.69</v>
      </c>
      <c r="D324">
        <v>0</v>
      </c>
      <c r="E324">
        <v>2</v>
      </c>
      <c r="F324">
        <v>34</v>
      </c>
      <c r="G324">
        <v>36</v>
      </c>
    </row>
    <row r="325" spans="1:7" x14ac:dyDescent="0.3">
      <c r="A325">
        <v>324</v>
      </c>
      <c r="B325">
        <v>0.2424</v>
      </c>
      <c r="C325">
        <v>0.55000000000000004</v>
      </c>
      <c r="D325">
        <v>0</v>
      </c>
      <c r="E325">
        <v>1</v>
      </c>
      <c r="F325">
        <v>26</v>
      </c>
      <c r="G325">
        <v>27</v>
      </c>
    </row>
    <row r="326" spans="1:7" x14ac:dyDescent="0.3">
      <c r="A326">
        <v>325</v>
      </c>
      <c r="B326">
        <v>0.2424</v>
      </c>
      <c r="C326">
        <v>0.55000000000000004</v>
      </c>
      <c r="D326">
        <v>0</v>
      </c>
      <c r="E326">
        <v>3</v>
      </c>
      <c r="F326">
        <v>25</v>
      </c>
      <c r="G326">
        <v>28</v>
      </c>
    </row>
    <row r="327" spans="1:7" x14ac:dyDescent="0.3">
      <c r="A327">
        <v>326</v>
      </c>
      <c r="B327">
        <v>0.19700000000000001</v>
      </c>
      <c r="C327">
        <v>0.59</v>
      </c>
      <c r="D327">
        <v>8.9599999999999999E-2</v>
      </c>
      <c r="E327">
        <v>2</v>
      </c>
      <c r="F327">
        <v>18</v>
      </c>
      <c r="G327">
        <v>20</v>
      </c>
    </row>
    <row r="328" spans="1:7" x14ac:dyDescent="0.3">
      <c r="A328">
        <v>327</v>
      </c>
      <c r="B328">
        <v>0.19700000000000001</v>
      </c>
      <c r="C328">
        <v>0.59</v>
      </c>
      <c r="D328">
        <v>8.9599999999999999E-2</v>
      </c>
      <c r="E328">
        <v>0</v>
      </c>
      <c r="F328">
        <v>12</v>
      </c>
      <c r="G328">
        <v>12</v>
      </c>
    </row>
    <row r="329" spans="1:7" x14ac:dyDescent="0.3">
      <c r="A329">
        <v>328</v>
      </c>
      <c r="B329">
        <v>0.2273</v>
      </c>
      <c r="C329">
        <v>0.59</v>
      </c>
      <c r="D329">
        <v>0</v>
      </c>
      <c r="E329">
        <v>1</v>
      </c>
      <c r="F329">
        <v>7</v>
      </c>
      <c r="G329">
        <v>8</v>
      </c>
    </row>
    <row r="330" spans="1:7" x14ac:dyDescent="0.3">
      <c r="A330">
        <v>329</v>
      </c>
      <c r="B330">
        <v>0.2273</v>
      </c>
      <c r="C330">
        <v>0.59</v>
      </c>
      <c r="D330">
        <v>0</v>
      </c>
      <c r="E330">
        <v>0</v>
      </c>
      <c r="F330">
        <v>5</v>
      </c>
      <c r="G330">
        <v>5</v>
      </c>
    </row>
    <row r="331" spans="1:7" x14ac:dyDescent="0.3">
      <c r="A331">
        <v>330</v>
      </c>
      <c r="B331">
        <v>0.2273</v>
      </c>
      <c r="C331">
        <v>0.59</v>
      </c>
      <c r="D331">
        <v>0</v>
      </c>
      <c r="E331">
        <v>0</v>
      </c>
      <c r="F331">
        <v>1</v>
      </c>
      <c r="G331">
        <v>1</v>
      </c>
    </row>
    <row r="332" spans="1:7" x14ac:dyDescent="0.3">
      <c r="A332">
        <v>331</v>
      </c>
      <c r="B332">
        <v>0.16669999999999999</v>
      </c>
      <c r="C332">
        <v>0.63</v>
      </c>
      <c r="D332">
        <v>0.1045</v>
      </c>
      <c r="E332">
        <v>1</v>
      </c>
      <c r="F332">
        <v>2</v>
      </c>
      <c r="G332">
        <v>3</v>
      </c>
    </row>
    <row r="333" spans="1:7" x14ac:dyDescent="0.3">
      <c r="A333">
        <v>332</v>
      </c>
      <c r="B333">
        <v>0.21210000000000001</v>
      </c>
      <c r="C333">
        <v>0.63</v>
      </c>
      <c r="D333">
        <v>0</v>
      </c>
      <c r="E333">
        <v>1</v>
      </c>
      <c r="F333">
        <v>9</v>
      </c>
      <c r="G333">
        <v>10</v>
      </c>
    </row>
    <row r="334" spans="1:7" x14ac:dyDescent="0.3">
      <c r="A334">
        <v>333</v>
      </c>
      <c r="B334">
        <v>0.1515</v>
      </c>
      <c r="C334">
        <v>0.63</v>
      </c>
      <c r="D334">
        <v>0.1343</v>
      </c>
      <c r="E334">
        <v>1</v>
      </c>
      <c r="F334">
        <v>22</v>
      </c>
      <c r="G334">
        <v>23</v>
      </c>
    </row>
    <row r="335" spans="1:7" x14ac:dyDescent="0.3">
      <c r="A335">
        <v>334</v>
      </c>
      <c r="B335">
        <v>0.18179999999999999</v>
      </c>
      <c r="C335">
        <v>0.64</v>
      </c>
      <c r="D335">
        <v>0.1343</v>
      </c>
      <c r="E335">
        <v>2</v>
      </c>
      <c r="F335">
        <v>31</v>
      </c>
      <c r="G335">
        <v>33</v>
      </c>
    </row>
    <row r="336" spans="1:7" x14ac:dyDescent="0.3">
      <c r="A336">
        <v>335</v>
      </c>
      <c r="B336">
        <v>0.19700000000000001</v>
      </c>
      <c r="C336">
        <v>0.59</v>
      </c>
      <c r="D336">
        <v>0.16420000000000001</v>
      </c>
      <c r="E336">
        <v>2</v>
      </c>
      <c r="F336">
        <v>57</v>
      </c>
      <c r="G336">
        <v>59</v>
      </c>
    </row>
    <row r="337" spans="1:7" x14ac:dyDescent="0.3">
      <c r="A337">
        <v>336</v>
      </c>
      <c r="B337">
        <v>0.19700000000000001</v>
      </c>
      <c r="C337">
        <v>0.55000000000000004</v>
      </c>
      <c r="D337">
        <v>0.22389999999999999</v>
      </c>
      <c r="E337">
        <v>18</v>
      </c>
      <c r="F337">
        <v>54</v>
      </c>
      <c r="G337">
        <v>72</v>
      </c>
    </row>
    <row r="338" spans="1:7" x14ac:dyDescent="0.3">
      <c r="A338">
        <v>337</v>
      </c>
      <c r="B338">
        <v>0.2273</v>
      </c>
      <c r="C338">
        <v>0.48</v>
      </c>
      <c r="D338">
        <v>0.22389999999999999</v>
      </c>
      <c r="E338">
        <v>15</v>
      </c>
      <c r="F338">
        <v>74</v>
      </c>
      <c r="G338">
        <v>89</v>
      </c>
    </row>
    <row r="339" spans="1:7" x14ac:dyDescent="0.3">
      <c r="A339">
        <v>338</v>
      </c>
      <c r="B339">
        <v>0.2576</v>
      </c>
      <c r="C339">
        <v>0.38</v>
      </c>
      <c r="D339">
        <v>0.29849999999999999</v>
      </c>
      <c r="E339">
        <v>21</v>
      </c>
      <c r="F339">
        <v>80</v>
      </c>
      <c r="G339">
        <v>101</v>
      </c>
    </row>
    <row r="340" spans="1:7" x14ac:dyDescent="0.3">
      <c r="A340">
        <v>339</v>
      </c>
      <c r="B340">
        <v>0.28789999999999999</v>
      </c>
      <c r="C340">
        <v>0.39</v>
      </c>
      <c r="D340">
        <v>0.28360000000000002</v>
      </c>
      <c r="E340">
        <v>26</v>
      </c>
      <c r="F340">
        <v>92</v>
      </c>
      <c r="G340">
        <v>118</v>
      </c>
    </row>
    <row r="341" spans="1:7" x14ac:dyDescent="0.3">
      <c r="A341">
        <v>340</v>
      </c>
      <c r="B341">
        <v>0.31819999999999998</v>
      </c>
      <c r="C341">
        <v>0.36</v>
      </c>
      <c r="D341">
        <v>0.19400000000000001</v>
      </c>
      <c r="E341">
        <v>21</v>
      </c>
      <c r="F341">
        <v>108</v>
      </c>
      <c r="G341">
        <v>129</v>
      </c>
    </row>
    <row r="342" spans="1:7" x14ac:dyDescent="0.3">
      <c r="A342">
        <v>341</v>
      </c>
      <c r="B342">
        <v>0.33329999999999999</v>
      </c>
      <c r="C342">
        <v>0.34</v>
      </c>
      <c r="D342">
        <v>0.19400000000000001</v>
      </c>
      <c r="E342">
        <v>33</v>
      </c>
      <c r="F342">
        <v>95</v>
      </c>
      <c r="G342">
        <v>128</v>
      </c>
    </row>
    <row r="343" spans="1:7" x14ac:dyDescent="0.3">
      <c r="A343">
        <v>342</v>
      </c>
      <c r="B343">
        <v>0.30299999999999999</v>
      </c>
      <c r="C343">
        <v>0.36</v>
      </c>
      <c r="D343">
        <v>0.28360000000000002</v>
      </c>
      <c r="E343">
        <v>29</v>
      </c>
      <c r="F343">
        <v>54</v>
      </c>
      <c r="G343">
        <v>83</v>
      </c>
    </row>
    <row r="344" spans="1:7" x14ac:dyDescent="0.3">
      <c r="A344">
        <v>343</v>
      </c>
      <c r="B344">
        <v>0.28789999999999999</v>
      </c>
      <c r="C344">
        <v>0.45</v>
      </c>
      <c r="D344">
        <v>0.25369999999999998</v>
      </c>
      <c r="E344">
        <v>15</v>
      </c>
      <c r="F344">
        <v>69</v>
      </c>
      <c r="G344">
        <v>84</v>
      </c>
    </row>
    <row r="345" spans="1:7" x14ac:dyDescent="0.3">
      <c r="A345">
        <v>344</v>
      </c>
      <c r="B345">
        <v>0.30299999999999999</v>
      </c>
      <c r="C345">
        <v>0.39</v>
      </c>
      <c r="D345">
        <v>0.25369999999999998</v>
      </c>
      <c r="E345">
        <v>14</v>
      </c>
      <c r="F345">
        <v>60</v>
      </c>
      <c r="G345">
        <v>74</v>
      </c>
    </row>
    <row r="346" spans="1:7" x14ac:dyDescent="0.3">
      <c r="A346">
        <v>345</v>
      </c>
      <c r="B346">
        <v>0.30299999999999999</v>
      </c>
      <c r="C346">
        <v>0.39</v>
      </c>
      <c r="D346">
        <v>0.25369999999999998</v>
      </c>
      <c r="E346">
        <v>6</v>
      </c>
      <c r="F346">
        <v>35</v>
      </c>
      <c r="G346">
        <v>41</v>
      </c>
    </row>
    <row r="347" spans="1:7" x14ac:dyDescent="0.3">
      <c r="A347">
        <v>346</v>
      </c>
      <c r="B347">
        <v>0.30299999999999999</v>
      </c>
      <c r="C347">
        <v>0.39</v>
      </c>
      <c r="D347">
        <v>0.22389999999999999</v>
      </c>
      <c r="E347">
        <v>6</v>
      </c>
      <c r="F347">
        <v>51</v>
      </c>
      <c r="G347">
        <v>57</v>
      </c>
    </row>
    <row r="348" spans="1:7" x14ac:dyDescent="0.3">
      <c r="A348">
        <v>347</v>
      </c>
      <c r="B348">
        <v>0.31819999999999998</v>
      </c>
      <c r="C348">
        <v>0.42</v>
      </c>
      <c r="D348">
        <v>0.1045</v>
      </c>
      <c r="E348">
        <v>0</v>
      </c>
      <c r="F348">
        <v>26</v>
      </c>
      <c r="G348">
        <v>26</v>
      </c>
    </row>
    <row r="349" spans="1:7" x14ac:dyDescent="0.3">
      <c r="A349">
        <v>348</v>
      </c>
      <c r="B349">
        <v>0.28789999999999999</v>
      </c>
      <c r="C349">
        <v>0.45</v>
      </c>
      <c r="D349">
        <v>0.28360000000000002</v>
      </c>
      <c r="E349">
        <v>5</v>
      </c>
      <c r="F349">
        <v>39</v>
      </c>
      <c r="G349">
        <v>44</v>
      </c>
    </row>
    <row r="350" spans="1:7" x14ac:dyDescent="0.3">
      <c r="A350">
        <v>349</v>
      </c>
      <c r="B350">
        <v>0.30299999999999999</v>
      </c>
      <c r="C350">
        <v>0.56000000000000005</v>
      </c>
      <c r="D350">
        <v>0</v>
      </c>
      <c r="E350">
        <v>6</v>
      </c>
      <c r="F350">
        <v>33</v>
      </c>
      <c r="G350">
        <v>39</v>
      </c>
    </row>
    <row r="351" spans="1:7" x14ac:dyDescent="0.3">
      <c r="A351">
        <v>350</v>
      </c>
      <c r="B351">
        <v>0.2727</v>
      </c>
      <c r="C351">
        <v>0.56000000000000005</v>
      </c>
      <c r="D351">
        <v>0.1343</v>
      </c>
      <c r="E351">
        <v>4</v>
      </c>
      <c r="F351">
        <v>19</v>
      </c>
      <c r="G351">
        <v>23</v>
      </c>
    </row>
    <row r="352" spans="1:7" x14ac:dyDescent="0.3">
      <c r="A352">
        <v>351</v>
      </c>
      <c r="B352">
        <v>0.28789999999999999</v>
      </c>
      <c r="C352">
        <v>0.56000000000000005</v>
      </c>
      <c r="D352">
        <v>8.9599999999999999E-2</v>
      </c>
      <c r="E352">
        <v>3</v>
      </c>
      <c r="F352">
        <v>13</v>
      </c>
      <c r="G352">
        <v>16</v>
      </c>
    </row>
    <row r="353" spans="1:7" x14ac:dyDescent="0.3">
      <c r="A353">
        <v>352</v>
      </c>
      <c r="B353">
        <v>0.2727</v>
      </c>
      <c r="C353">
        <v>0.69</v>
      </c>
      <c r="D353">
        <v>0</v>
      </c>
      <c r="E353">
        <v>9</v>
      </c>
      <c r="F353">
        <v>6</v>
      </c>
      <c r="G353">
        <v>15</v>
      </c>
    </row>
    <row r="354" spans="1:7" x14ac:dyDescent="0.3">
      <c r="A354">
        <v>353</v>
      </c>
      <c r="B354">
        <v>0.2576</v>
      </c>
      <c r="C354">
        <v>0.56000000000000005</v>
      </c>
      <c r="D354">
        <v>0.16420000000000001</v>
      </c>
      <c r="E354">
        <v>0</v>
      </c>
      <c r="F354">
        <v>1</v>
      </c>
      <c r="G354">
        <v>1</v>
      </c>
    </row>
    <row r="355" spans="1:7" x14ac:dyDescent="0.3">
      <c r="A355">
        <v>354</v>
      </c>
      <c r="B355">
        <v>0.2576</v>
      </c>
      <c r="C355">
        <v>0.56000000000000005</v>
      </c>
      <c r="D355">
        <v>0.16420000000000001</v>
      </c>
      <c r="E355">
        <v>1</v>
      </c>
      <c r="F355">
        <v>1</v>
      </c>
      <c r="G355">
        <v>2</v>
      </c>
    </row>
    <row r="356" spans="1:7" x14ac:dyDescent="0.3">
      <c r="A356">
        <v>355</v>
      </c>
      <c r="B356">
        <v>0.2576</v>
      </c>
      <c r="C356">
        <v>0.56000000000000005</v>
      </c>
      <c r="D356">
        <v>0.16420000000000001</v>
      </c>
      <c r="E356">
        <v>0</v>
      </c>
      <c r="F356">
        <v>1</v>
      </c>
      <c r="G356">
        <v>1</v>
      </c>
    </row>
    <row r="357" spans="1:7" x14ac:dyDescent="0.3">
      <c r="A357">
        <v>356</v>
      </c>
      <c r="B357">
        <v>0.21210000000000001</v>
      </c>
      <c r="C357">
        <v>0.56000000000000005</v>
      </c>
      <c r="D357">
        <v>0.29849999999999999</v>
      </c>
      <c r="E357">
        <v>0</v>
      </c>
      <c r="F357">
        <v>3</v>
      </c>
      <c r="G357">
        <v>3</v>
      </c>
    </row>
    <row r="358" spans="1:7" x14ac:dyDescent="0.3">
      <c r="A358">
        <v>357</v>
      </c>
      <c r="B358">
        <v>0.21210000000000001</v>
      </c>
      <c r="C358">
        <v>0.55000000000000004</v>
      </c>
      <c r="D358">
        <v>0.28360000000000002</v>
      </c>
      <c r="E358">
        <v>0</v>
      </c>
      <c r="F358">
        <v>18</v>
      </c>
      <c r="G358">
        <v>18</v>
      </c>
    </row>
    <row r="359" spans="1:7" x14ac:dyDescent="0.3">
      <c r="A359">
        <v>358</v>
      </c>
      <c r="B359">
        <v>0.21210000000000001</v>
      </c>
      <c r="C359">
        <v>0.51</v>
      </c>
      <c r="D359">
        <v>0.25369999999999998</v>
      </c>
      <c r="E359">
        <v>3</v>
      </c>
      <c r="F359">
        <v>29</v>
      </c>
      <c r="G359">
        <v>32</v>
      </c>
    </row>
    <row r="360" spans="1:7" x14ac:dyDescent="0.3">
      <c r="A360">
        <v>359</v>
      </c>
      <c r="B360">
        <v>0.21210000000000001</v>
      </c>
      <c r="C360">
        <v>0.51</v>
      </c>
      <c r="D360">
        <v>0.28360000000000002</v>
      </c>
      <c r="E360">
        <v>8</v>
      </c>
      <c r="F360">
        <v>71</v>
      </c>
      <c r="G360">
        <v>79</v>
      </c>
    </row>
    <row r="361" spans="1:7" x14ac:dyDescent="0.3">
      <c r="A361">
        <v>360</v>
      </c>
      <c r="B361">
        <v>0.2273</v>
      </c>
      <c r="C361">
        <v>0.44</v>
      </c>
      <c r="D361">
        <v>0.25369999999999998</v>
      </c>
      <c r="E361">
        <v>23</v>
      </c>
      <c r="F361">
        <v>70</v>
      </c>
      <c r="G361">
        <v>93</v>
      </c>
    </row>
    <row r="362" spans="1:7" x14ac:dyDescent="0.3">
      <c r="A362">
        <v>361</v>
      </c>
      <c r="B362">
        <v>0.21210000000000001</v>
      </c>
      <c r="C362">
        <v>0.41</v>
      </c>
      <c r="D362">
        <v>0.28360000000000002</v>
      </c>
      <c r="E362">
        <v>29</v>
      </c>
      <c r="F362">
        <v>75</v>
      </c>
      <c r="G362">
        <v>104</v>
      </c>
    </row>
    <row r="363" spans="1:7" x14ac:dyDescent="0.3">
      <c r="A363">
        <v>362</v>
      </c>
      <c r="B363">
        <v>0.2273</v>
      </c>
      <c r="C363">
        <v>0.35</v>
      </c>
      <c r="D363">
        <v>0.29849999999999999</v>
      </c>
      <c r="E363">
        <v>23</v>
      </c>
      <c r="F363">
        <v>95</v>
      </c>
      <c r="G363">
        <v>118</v>
      </c>
    </row>
    <row r="364" spans="1:7" x14ac:dyDescent="0.3">
      <c r="A364">
        <v>363</v>
      </c>
      <c r="B364">
        <v>0.2727</v>
      </c>
      <c r="C364">
        <v>0.36</v>
      </c>
      <c r="D364">
        <v>0.25369999999999998</v>
      </c>
      <c r="E364">
        <v>22</v>
      </c>
      <c r="F364">
        <v>69</v>
      </c>
      <c r="G364">
        <v>91</v>
      </c>
    </row>
    <row r="365" spans="1:7" x14ac:dyDescent="0.3">
      <c r="A365">
        <v>364</v>
      </c>
      <c r="B365">
        <v>0.2424</v>
      </c>
      <c r="C365">
        <v>0.38</v>
      </c>
      <c r="D365">
        <v>0.25369999999999998</v>
      </c>
      <c r="E365">
        <v>35</v>
      </c>
      <c r="F365">
        <v>78</v>
      </c>
      <c r="G365">
        <v>113</v>
      </c>
    </row>
    <row r="366" spans="1:7" x14ac:dyDescent="0.3">
      <c r="A366">
        <v>365</v>
      </c>
      <c r="B366">
        <v>0.2273</v>
      </c>
      <c r="C366">
        <v>0.38</v>
      </c>
      <c r="D366">
        <v>0.22389999999999999</v>
      </c>
      <c r="E366">
        <v>22</v>
      </c>
      <c r="F366">
        <v>77</v>
      </c>
      <c r="G366">
        <v>99</v>
      </c>
    </row>
    <row r="367" spans="1:7" x14ac:dyDescent="0.3">
      <c r="A367">
        <v>366</v>
      </c>
      <c r="B367">
        <v>0.21210000000000001</v>
      </c>
      <c r="C367">
        <v>0.37</v>
      </c>
      <c r="D367">
        <v>0.25369999999999998</v>
      </c>
      <c r="E367">
        <v>23</v>
      </c>
      <c r="F367">
        <v>82</v>
      </c>
      <c r="G367">
        <v>105</v>
      </c>
    </row>
    <row r="368" spans="1:7" x14ac:dyDescent="0.3">
      <c r="A368">
        <v>367</v>
      </c>
      <c r="B368">
        <v>0.21210000000000001</v>
      </c>
      <c r="C368">
        <v>0.4</v>
      </c>
      <c r="D368">
        <v>0.16420000000000001</v>
      </c>
      <c r="E368">
        <v>11</v>
      </c>
      <c r="F368">
        <v>56</v>
      </c>
      <c r="G368">
        <v>67</v>
      </c>
    </row>
    <row r="369" spans="1:7" x14ac:dyDescent="0.3">
      <c r="A369">
        <v>368</v>
      </c>
      <c r="B369">
        <v>0.19700000000000001</v>
      </c>
      <c r="C369">
        <v>0.47</v>
      </c>
      <c r="D369">
        <v>0.1343</v>
      </c>
      <c r="E369">
        <v>14</v>
      </c>
      <c r="F369">
        <v>47</v>
      </c>
      <c r="G369">
        <v>61</v>
      </c>
    </row>
    <row r="370" spans="1:7" x14ac:dyDescent="0.3">
      <c r="A370">
        <v>369</v>
      </c>
      <c r="B370">
        <v>0.19700000000000001</v>
      </c>
      <c r="C370">
        <v>0.47</v>
      </c>
      <c r="D370">
        <v>0.16420000000000001</v>
      </c>
      <c r="E370">
        <v>7</v>
      </c>
      <c r="F370">
        <v>50</v>
      </c>
      <c r="G370">
        <v>57</v>
      </c>
    </row>
    <row r="371" spans="1:7" x14ac:dyDescent="0.3">
      <c r="A371">
        <v>370</v>
      </c>
      <c r="B371">
        <v>0.19700000000000001</v>
      </c>
      <c r="C371">
        <v>0.51</v>
      </c>
      <c r="D371">
        <v>0.16420000000000001</v>
      </c>
      <c r="E371">
        <v>6</v>
      </c>
      <c r="F371">
        <v>22</v>
      </c>
      <c r="G371">
        <v>28</v>
      </c>
    </row>
    <row r="372" spans="1:7" x14ac:dyDescent="0.3">
      <c r="A372">
        <v>371</v>
      </c>
      <c r="B372">
        <v>0.21210000000000001</v>
      </c>
      <c r="C372">
        <v>0.49</v>
      </c>
      <c r="D372">
        <v>0.1343</v>
      </c>
      <c r="E372">
        <v>2</v>
      </c>
      <c r="F372">
        <v>19</v>
      </c>
      <c r="G372">
        <v>21</v>
      </c>
    </row>
    <row r="373" spans="1:7" x14ac:dyDescent="0.3">
      <c r="A373">
        <v>372</v>
      </c>
      <c r="B373">
        <v>0.2273</v>
      </c>
      <c r="C373">
        <v>0.4</v>
      </c>
      <c r="D373">
        <v>0.1045</v>
      </c>
      <c r="E373">
        <v>0</v>
      </c>
      <c r="F373">
        <v>18</v>
      </c>
      <c r="G373">
        <v>18</v>
      </c>
    </row>
    <row r="374" spans="1:7" x14ac:dyDescent="0.3">
      <c r="A374">
        <v>373</v>
      </c>
      <c r="B374">
        <v>0.19700000000000001</v>
      </c>
      <c r="C374">
        <v>0.47</v>
      </c>
      <c r="D374">
        <v>0.22389999999999999</v>
      </c>
      <c r="E374">
        <v>1</v>
      </c>
      <c r="F374">
        <v>16</v>
      </c>
      <c r="G374">
        <v>17</v>
      </c>
    </row>
    <row r="375" spans="1:7" x14ac:dyDescent="0.3">
      <c r="A375">
        <v>374</v>
      </c>
      <c r="B375">
        <v>0.19700000000000001</v>
      </c>
      <c r="C375">
        <v>0.44</v>
      </c>
      <c r="D375">
        <v>0.19400000000000001</v>
      </c>
      <c r="E375">
        <v>1</v>
      </c>
      <c r="F375">
        <v>15</v>
      </c>
      <c r="G375">
        <v>16</v>
      </c>
    </row>
    <row r="376" spans="1:7" x14ac:dyDescent="0.3">
      <c r="A376">
        <v>375</v>
      </c>
      <c r="B376">
        <v>0.16669999999999999</v>
      </c>
      <c r="C376">
        <v>0.43</v>
      </c>
      <c r="D376">
        <v>0.25369999999999998</v>
      </c>
      <c r="E376">
        <v>0</v>
      </c>
      <c r="F376">
        <v>8</v>
      </c>
      <c r="G376">
        <v>8</v>
      </c>
    </row>
    <row r="377" spans="1:7" x14ac:dyDescent="0.3">
      <c r="A377">
        <v>376</v>
      </c>
      <c r="B377">
        <v>0.18179999999999999</v>
      </c>
      <c r="C377">
        <v>0.43</v>
      </c>
      <c r="D377">
        <v>0.19400000000000001</v>
      </c>
      <c r="E377">
        <v>0</v>
      </c>
      <c r="F377">
        <v>2</v>
      </c>
      <c r="G377">
        <v>2</v>
      </c>
    </row>
    <row r="378" spans="1:7" x14ac:dyDescent="0.3">
      <c r="A378">
        <v>377</v>
      </c>
      <c r="B378">
        <v>0.19700000000000001</v>
      </c>
      <c r="C378">
        <v>0.43</v>
      </c>
      <c r="D378">
        <v>0.1343</v>
      </c>
      <c r="E378">
        <v>1</v>
      </c>
      <c r="F378">
        <v>2</v>
      </c>
      <c r="G378">
        <v>3</v>
      </c>
    </row>
    <row r="379" spans="1:7" x14ac:dyDescent="0.3">
      <c r="A379">
        <v>378</v>
      </c>
      <c r="B379">
        <v>0.19700000000000001</v>
      </c>
      <c r="C379">
        <v>0.43</v>
      </c>
      <c r="D379">
        <v>0.16420000000000001</v>
      </c>
      <c r="E379">
        <v>0</v>
      </c>
      <c r="F379">
        <v>1</v>
      </c>
      <c r="G379">
        <v>1</v>
      </c>
    </row>
    <row r="380" spans="1:7" x14ac:dyDescent="0.3">
      <c r="A380">
        <v>379</v>
      </c>
      <c r="B380">
        <v>0.18179999999999999</v>
      </c>
      <c r="C380">
        <v>0.43</v>
      </c>
      <c r="D380">
        <v>0.19400000000000001</v>
      </c>
      <c r="E380">
        <v>0</v>
      </c>
      <c r="F380">
        <v>5</v>
      </c>
      <c r="G380">
        <v>5</v>
      </c>
    </row>
    <row r="381" spans="1:7" x14ac:dyDescent="0.3">
      <c r="A381">
        <v>380</v>
      </c>
      <c r="B381">
        <v>0.18179999999999999</v>
      </c>
      <c r="C381">
        <v>0.5</v>
      </c>
      <c r="D381">
        <v>0.1343</v>
      </c>
      <c r="E381">
        <v>4</v>
      </c>
      <c r="F381">
        <v>9</v>
      </c>
      <c r="G381">
        <v>13</v>
      </c>
    </row>
    <row r="382" spans="1:7" x14ac:dyDescent="0.3">
      <c r="A382">
        <v>381</v>
      </c>
      <c r="B382">
        <v>0.1515</v>
      </c>
      <c r="C382">
        <v>0.47</v>
      </c>
      <c r="D382">
        <v>0.22389999999999999</v>
      </c>
      <c r="E382">
        <v>3</v>
      </c>
      <c r="F382">
        <v>30</v>
      </c>
      <c r="G382">
        <v>33</v>
      </c>
    </row>
    <row r="383" spans="1:7" x14ac:dyDescent="0.3">
      <c r="A383">
        <v>382</v>
      </c>
      <c r="B383">
        <v>0.1515</v>
      </c>
      <c r="C383">
        <v>0.47</v>
      </c>
      <c r="D383">
        <v>0.22389999999999999</v>
      </c>
      <c r="E383">
        <v>8</v>
      </c>
      <c r="F383">
        <v>39</v>
      </c>
      <c r="G383">
        <v>47</v>
      </c>
    </row>
    <row r="384" spans="1:7" x14ac:dyDescent="0.3">
      <c r="A384">
        <v>383</v>
      </c>
      <c r="B384">
        <v>0.1515</v>
      </c>
      <c r="C384">
        <v>0.5</v>
      </c>
      <c r="D384">
        <v>0.25369999999999998</v>
      </c>
      <c r="E384">
        <v>7</v>
      </c>
      <c r="F384">
        <v>50</v>
      </c>
      <c r="G384">
        <v>57</v>
      </c>
    </row>
    <row r="385" spans="1:7" x14ac:dyDescent="0.3">
      <c r="A385">
        <v>384</v>
      </c>
      <c r="B385">
        <v>0.1515</v>
      </c>
      <c r="C385">
        <v>0.55000000000000004</v>
      </c>
      <c r="D385">
        <v>0.19400000000000001</v>
      </c>
      <c r="E385">
        <v>9</v>
      </c>
      <c r="F385">
        <v>55</v>
      </c>
      <c r="G385">
        <v>64</v>
      </c>
    </row>
    <row r="386" spans="1:7" x14ac:dyDescent="0.3">
      <c r="A386">
        <v>385</v>
      </c>
      <c r="B386">
        <v>0.19700000000000001</v>
      </c>
      <c r="C386">
        <v>0.47</v>
      </c>
      <c r="D386">
        <v>0.1343</v>
      </c>
      <c r="E386">
        <v>10</v>
      </c>
      <c r="F386">
        <v>70</v>
      </c>
      <c r="G386">
        <v>80</v>
      </c>
    </row>
    <row r="387" spans="1:7" x14ac:dyDescent="0.3">
      <c r="A387">
        <v>386</v>
      </c>
      <c r="B387">
        <v>0.19700000000000001</v>
      </c>
      <c r="C387">
        <v>0.47</v>
      </c>
      <c r="D387">
        <v>0.1343</v>
      </c>
      <c r="E387">
        <v>13</v>
      </c>
      <c r="F387">
        <v>80</v>
      </c>
      <c r="G387">
        <v>93</v>
      </c>
    </row>
    <row r="388" spans="1:7" x14ac:dyDescent="0.3">
      <c r="A388">
        <v>387</v>
      </c>
      <c r="B388">
        <v>0.21210000000000001</v>
      </c>
      <c r="C388">
        <v>0.43</v>
      </c>
      <c r="D388">
        <v>0.1045</v>
      </c>
      <c r="E388">
        <v>12</v>
      </c>
      <c r="F388">
        <v>74</v>
      </c>
      <c r="G388">
        <v>86</v>
      </c>
    </row>
    <row r="389" spans="1:7" x14ac:dyDescent="0.3">
      <c r="A389">
        <v>388</v>
      </c>
      <c r="B389">
        <v>0.21210000000000001</v>
      </c>
      <c r="C389">
        <v>0.47</v>
      </c>
      <c r="D389">
        <v>0.16420000000000001</v>
      </c>
      <c r="E389">
        <v>21</v>
      </c>
      <c r="F389">
        <v>72</v>
      </c>
      <c r="G389">
        <v>93</v>
      </c>
    </row>
    <row r="390" spans="1:7" x14ac:dyDescent="0.3">
      <c r="A390">
        <v>389</v>
      </c>
      <c r="B390">
        <v>0.21210000000000001</v>
      </c>
      <c r="C390">
        <v>0.47</v>
      </c>
      <c r="D390">
        <v>0.16420000000000001</v>
      </c>
      <c r="E390">
        <v>6</v>
      </c>
      <c r="F390">
        <v>76</v>
      </c>
      <c r="G390">
        <v>82</v>
      </c>
    </row>
    <row r="391" spans="1:7" x14ac:dyDescent="0.3">
      <c r="A391">
        <v>390</v>
      </c>
      <c r="B391">
        <v>0.19700000000000001</v>
      </c>
      <c r="C391">
        <v>0.51</v>
      </c>
      <c r="D391">
        <v>0.19400000000000001</v>
      </c>
      <c r="E391">
        <v>4</v>
      </c>
      <c r="F391">
        <v>67</v>
      </c>
      <c r="G391">
        <v>71</v>
      </c>
    </row>
    <row r="392" spans="1:7" x14ac:dyDescent="0.3">
      <c r="A392">
        <v>391</v>
      </c>
      <c r="B392">
        <v>0.16669999999999999</v>
      </c>
      <c r="C392">
        <v>0.55000000000000004</v>
      </c>
      <c r="D392">
        <v>0.25369999999999998</v>
      </c>
      <c r="E392">
        <v>7</v>
      </c>
      <c r="F392">
        <v>85</v>
      </c>
      <c r="G392">
        <v>92</v>
      </c>
    </row>
    <row r="393" spans="1:7" x14ac:dyDescent="0.3">
      <c r="A393">
        <v>392</v>
      </c>
      <c r="B393">
        <v>0.18179999999999999</v>
      </c>
      <c r="C393">
        <v>0.59</v>
      </c>
      <c r="D393">
        <v>0.19400000000000001</v>
      </c>
      <c r="E393">
        <v>2</v>
      </c>
      <c r="F393">
        <v>58</v>
      </c>
      <c r="G393">
        <v>60</v>
      </c>
    </row>
    <row r="394" spans="1:7" x14ac:dyDescent="0.3">
      <c r="A394">
        <v>393</v>
      </c>
      <c r="B394">
        <v>0.1515</v>
      </c>
      <c r="C394">
        <v>0.8</v>
      </c>
      <c r="D394">
        <v>0.19400000000000001</v>
      </c>
      <c r="E394">
        <v>4</v>
      </c>
      <c r="F394">
        <v>29</v>
      </c>
      <c r="G394">
        <v>33</v>
      </c>
    </row>
    <row r="395" spans="1:7" x14ac:dyDescent="0.3">
      <c r="A395">
        <v>394</v>
      </c>
      <c r="B395">
        <v>0.1515</v>
      </c>
      <c r="C395">
        <v>0.8</v>
      </c>
      <c r="D395">
        <v>0.19400000000000001</v>
      </c>
      <c r="E395">
        <v>3</v>
      </c>
      <c r="F395">
        <v>24</v>
      </c>
      <c r="G395">
        <v>27</v>
      </c>
    </row>
    <row r="396" spans="1:7" x14ac:dyDescent="0.3">
      <c r="A396">
        <v>395</v>
      </c>
      <c r="B396">
        <v>0.1212</v>
      </c>
      <c r="C396">
        <v>0.93</v>
      </c>
      <c r="D396">
        <v>0.25369999999999998</v>
      </c>
      <c r="E396">
        <v>0</v>
      </c>
      <c r="F396">
        <v>13</v>
      </c>
      <c r="G396">
        <v>13</v>
      </c>
    </row>
    <row r="397" spans="1:7" x14ac:dyDescent="0.3">
      <c r="A397">
        <v>396</v>
      </c>
      <c r="B397">
        <v>0.13639999999999999</v>
      </c>
      <c r="C397">
        <v>0.86</v>
      </c>
      <c r="D397">
        <v>0.28360000000000002</v>
      </c>
      <c r="E397">
        <v>1</v>
      </c>
      <c r="F397">
        <v>3</v>
      </c>
      <c r="G397">
        <v>4</v>
      </c>
    </row>
    <row r="398" spans="1:7" x14ac:dyDescent="0.3">
      <c r="A398">
        <v>397</v>
      </c>
      <c r="B398">
        <v>0.18179999999999999</v>
      </c>
      <c r="C398">
        <v>0.86</v>
      </c>
      <c r="D398">
        <v>0.32840000000000003</v>
      </c>
      <c r="E398">
        <v>0</v>
      </c>
      <c r="F398">
        <v>3</v>
      </c>
      <c r="G398">
        <v>3</v>
      </c>
    </row>
    <row r="399" spans="1:7" x14ac:dyDescent="0.3">
      <c r="A399">
        <v>398</v>
      </c>
      <c r="B399">
        <v>0.19700000000000001</v>
      </c>
      <c r="C399">
        <v>0.86</v>
      </c>
      <c r="D399">
        <v>0.22389999999999999</v>
      </c>
      <c r="E399">
        <v>0</v>
      </c>
      <c r="F399">
        <v>22</v>
      </c>
      <c r="G399">
        <v>22</v>
      </c>
    </row>
    <row r="400" spans="1:7" x14ac:dyDescent="0.3">
      <c r="A400">
        <v>399</v>
      </c>
      <c r="B400">
        <v>0.2273</v>
      </c>
      <c r="C400">
        <v>0.8</v>
      </c>
      <c r="D400">
        <v>0.16420000000000001</v>
      </c>
      <c r="E400">
        <v>2</v>
      </c>
      <c r="F400">
        <v>26</v>
      </c>
      <c r="G400">
        <v>28</v>
      </c>
    </row>
    <row r="401" spans="1:7" x14ac:dyDescent="0.3">
      <c r="A401">
        <v>400</v>
      </c>
      <c r="B401">
        <v>0.2273</v>
      </c>
      <c r="C401">
        <v>0.87</v>
      </c>
      <c r="D401">
        <v>0.16420000000000001</v>
      </c>
      <c r="E401">
        <v>3</v>
      </c>
      <c r="F401">
        <v>32</v>
      </c>
      <c r="G401">
        <v>35</v>
      </c>
    </row>
    <row r="402" spans="1:7" x14ac:dyDescent="0.3">
      <c r="A402">
        <v>401</v>
      </c>
      <c r="B402">
        <v>0.2273</v>
      </c>
      <c r="C402">
        <v>0.87</v>
      </c>
      <c r="D402">
        <v>0.19400000000000001</v>
      </c>
      <c r="E402">
        <v>0</v>
      </c>
      <c r="F402">
        <v>61</v>
      </c>
      <c r="G402">
        <v>61</v>
      </c>
    </row>
    <row r="403" spans="1:7" x14ac:dyDescent="0.3">
      <c r="A403">
        <v>402</v>
      </c>
      <c r="B403">
        <v>0.2273</v>
      </c>
      <c r="C403">
        <v>0.82</v>
      </c>
      <c r="D403">
        <v>0.19400000000000001</v>
      </c>
      <c r="E403">
        <v>1</v>
      </c>
      <c r="F403">
        <v>124</v>
      </c>
      <c r="G403">
        <v>125</v>
      </c>
    </row>
    <row r="404" spans="1:7" x14ac:dyDescent="0.3">
      <c r="A404">
        <v>403</v>
      </c>
      <c r="B404">
        <v>0.2273</v>
      </c>
      <c r="C404">
        <v>0.8</v>
      </c>
      <c r="D404">
        <v>0.16420000000000001</v>
      </c>
      <c r="E404">
        <v>1</v>
      </c>
      <c r="F404">
        <v>132</v>
      </c>
      <c r="G404">
        <v>133</v>
      </c>
    </row>
    <row r="405" spans="1:7" x14ac:dyDescent="0.3">
      <c r="A405">
        <v>404</v>
      </c>
      <c r="B405">
        <v>0.2273</v>
      </c>
      <c r="C405">
        <v>0.8</v>
      </c>
      <c r="D405">
        <v>0.1343</v>
      </c>
      <c r="E405">
        <v>1</v>
      </c>
      <c r="F405">
        <v>98</v>
      </c>
      <c r="G405">
        <v>99</v>
      </c>
    </row>
    <row r="406" spans="1:7" x14ac:dyDescent="0.3">
      <c r="A406">
        <v>405</v>
      </c>
      <c r="B406">
        <v>0.2727</v>
      </c>
      <c r="C406">
        <v>0.87</v>
      </c>
      <c r="D406">
        <v>0</v>
      </c>
      <c r="E406">
        <v>0</v>
      </c>
      <c r="F406">
        <v>83</v>
      </c>
      <c r="G406">
        <v>83</v>
      </c>
    </row>
    <row r="407" spans="1:7" x14ac:dyDescent="0.3">
      <c r="A407">
        <v>406</v>
      </c>
      <c r="B407">
        <v>0.2424</v>
      </c>
      <c r="C407">
        <v>0.93</v>
      </c>
      <c r="D407">
        <v>0.1045</v>
      </c>
      <c r="E407">
        <v>0</v>
      </c>
      <c r="F407">
        <v>41</v>
      </c>
      <c r="G407">
        <v>41</v>
      </c>
    </row>
    <row r="408" spans="1:7" x14ac:dyDescent="0.3">
      <c r="A408">
        <v>407</v>
      </c>
      <c r="B408">
        <v>0.2576</v>
      </c>
      <c r="C408">
        <v>0.93</v>
      </c>
      <c r="D408">
        <v>8.9599999999999999E-2</v>
      </c>
      <c r="E408">
        <v>0</v>
      </c>
      <c r="F408">
        <v>33</v>
      </c>
      <c r="G408">
        <v>33</v>
      </c>
    </row>
    <row r="409" spans="1:7" x14ac:dyDescent="0.3">
      <c r="A409">
        <v>408</v>
      </c>
      <c r="B409">
        <v>0.2727</v>
      </c>
      <c r="C409">
        <v>0.93</v>
      </c>
      <c r="D409">
        <v>0</v>
      </c>
      <c r="E409">
        <v>1</v>
      </c>
      <c r="F409">
        <v>19</v>
      </c>
      <c r="G409">
        <v>20</v>
      </c>
    </row>
    <row r="410" spans="1:7" x14ac:dyDescent="0.3">
      <c r="A410">
        <v>409</v>
      </c>
      <c r="B410">
        <v>0.2727</v>
      </c>
      <c r="C410">
        <v>0.93</v>
      </c>
      <c r="D410">
        <v>0</v>
      </c>
      <c r="E410">
        <v>0</v>
      </c>
      <c r="F410">
        <v>3</v>
      </c>
      <c r="G410">
        <v>3</v>
      </c>
    </row>
    <row r="411" spans="1:7" x14ac:dyDescent="0.3">
      <c r="A411">
        <v>410</v>
      </c>
      <c r="B411">
        <v>0.2273</v>
      </c>
      <c r="C411">
        <v>0.93</v>
      </c>
      <c r="D411">
        <v>0.1343</v>
      </c>
      <c r="E411">
        <v>1</v>
      </c>
      <c r="F411">
        <v>6</v>
      </c>
      <c r="G411">
        <v>7</v>
      </c>
    </row>
    <row r="412" spans="1:7" x14ac:dyDescent="0.3">
      <c r="A412">
        <v>411</v>
      </c>
      <c r="B412">
        <v>0.2273</v>
      </c>
      <c r="C412">
        <v>0.93</v>
      </c>
      <c r="D412">
        <v>0.1343</v>
      </c>
      <c r="E412">
        <v>0</v>
      </c>
      <c r="F412">
        <v>3</v>
      </c>
      <c r="G412">
        <v>3</v>
      </c>
    </row>
    <row r="413" spans="1:7" x14ac:dyDescent="0.3">
      <c r="A413">
        <v>412</v>
      </c>
      <c r="B413">
        <v>0.2273</v>
      </c>
      <c r="C413">
        <v>0.93</v>
      </c>
      <c r="D413">
        <v>0.1343</v>
      </c>
      <c r="E413">
        <v>1</v>
      </c>
      <c r="F413">
        <v>1</v>
      </c>
      <c r="G413">
        <v>2</v>
      </c>
    </row>
    <row r="414" spans="1:7" x14ac:dyDescent="0.3">
      <c r="A414">
        <v>413</v>
      </c>
      <c r="B414">
        <v>0.2576</v>
      </c>
      <c r="C414">
        <v>0.93</v>
      </c>
      <c r="D414">
        <v>8.9599999999999999E-2</v>
      </c>
      <c r="E414">
        <v>0</v>
      </c>
      <c r="F414">
        <v>7</v>
      </c>
      <c r="G414">
        <v>7</v>
      </c>
    </row>
    <row r="415" spans="1:7" x14ac:dyDescent="0.3">
      <c r="A415">
        <v>414</v>
      </c>
      <c r="B415">
        <v>0.2576</v>
      </c>
      <c r="C415">
        <v>0.93</v>
      </c>
      <c r="D415">
        <v>8.9599999999999999E-2</v>
      </c>
      <c r="E415">
        <v>0</v>
      </c>
      <c r="F415">
        <v>32</v>
      </c>
      <c r="G415">
        <v>32</v>
      </c>
    </row>
    <row r="416" spans="1:7" x14ac:dyDescent="0.3">
      <c r="A416">
        <v>415</v>
      </c>
      <c r="B416">
        <v>0.2576</v>
      </c>
      <c r="C416">
        <v>0.92</v>
      </c>
      <c r="D416">
        <v>0.1045</v>
      </c>
      <c r="E416">
        <v>1</v>
      </c>
      <c r="F416">
        <v>89</v>
      </c>
      <c r="G416">
        <v>90</v>
      </c>
    </row>
    <row r="417" spans="1:7" x14ac:dyDescent="0.3">
      <c r="A417">
        <v>416</v>
      </c>
      <c r="B417">
        <v>0.2576</v>
      </c>
      <c r="C417">
        <v>0.93</v>
      </c>
      <c r="D417">
        <v>0.1045</v>
      </c>
      <c r="E417">
        <v>1</v>
      </c>
      <c r="F417">
        <v>196</v>
      </c>
      <c r="G417">
        <v>197</v>
      </c>
    </row>
    <row r="418" spans="1:7" x14ac:dyDescent="0.3">
      <c r="A418">
        <v>417</v>
      </c>
      <c r="B418">
        <v>0.2576</v>
      </c>
      <c r="C418">
        <v>0.93</v>
      </c>
      <c r="D418">
        <v>0.1045</v>
      </c>
      <c r="E418">
        <v>2</v>
      </c>
      <c r="F418">
        <v>107</v>
      </c>
      <c r="G418">
        <v>109</v>
      </c>
    </row>
    <row r="419" spans="1:7" x14ac:dyDescent="0.3">
      <c r="A419">
        <v>418</v>
      </c>
      <c r="B419">
        <v>0.2727</v>
      </c>
      <c r="C419">
        <v>0.93</v>
      </c>
      <c r="D419">
        <v>0.1343</v>
      </c>
      <c r="E419">
        <v>1</v>
      </c>
      <c r="F419">
        <v>46</v>
      </c>
      <c r="G419">
        <v>47</v>
      </c>
    </row>
    <row r="420" spans="1:7" x14ac:dyDescent="0.3">
      <c r="A420">
        <v>419</v>
      </c>
      <c r="B420">
        <v>0.30299999999999999</v>
      </c>
      <c r="C420">
        <v>0.87</v>
      </c>
      <c r="D420">
        <v>8.9599999999999999E-2</v>
      </c>
      <c r="E420">
        <v>5</v>
      </c>
      <c r="F420">
        <v>47</v>
      </c>
      <c r="G420">
        <v>52</v>
      </c>
    </row>
    <row r="421" spans="1:7" x14ac:dyDescent="0.3">
      <c r="A421">
        <v>420</v>
      </c>
      <c r="B421">
        <v>0.31819999999999998</v>
      </c>
      <c r="C421">
        <v>0.81</v>
      </c>
      <c r="D421">
        <v>8.9599999999999999E-2</v>
      </c>
      <c r="E421">
        <v>5</v>
      </c>
      <c r="F421">
        <v>65</v>
      </c>
      <c r="G421">
        <v>70</v>
      </c>
    </row>
    <row r="422" spans="1:7" x14ac:dyDescent="0.3">
      <c r="A422">
        <v>421</v>
      </c>
      <c r="B422">
        <v>0.40910000000000002</v>
      </c>
      <c r="C422">
        <v>0.62</v>
      </c>
      <c r="D422">
        <v>0.28360000000000002</v>
      </c>
      <c r="E422">
        <v>11</v>
      </c>
      <c r="F422">
        <v>67</v>
      </c>
      <c r="G422">
        <v>78</v>
      </c>
    </row>
    <row r="423" spans="1:7" x14ac:dyDescent="0.3">
      <c r="A423">
        <v>422</v>
      </c>
      <c r="B423">
        <v>0.40910000000000002</v>
      </c>
      <c r="C423">
        <v>0.57999999999999996</v>
      </c>
      <c r="D423">
        <v>0.25369999999999998</v>
      </c>
      <c r="E423">
        <v>7</v>
      </c>
      <c r="F423">
        <v>68</v>
      </c>
      <c r="G423">
        <v>75</v>
      </c>
    </row>
    <row r="424" spans="1:7" x14ac:dyDescent="0.3">
      <c r="A424">
        <v>423</v>
      </c>
      <c r="B424">
        <v>0.40910000000000002</v>
      </c>
      <c r="C424">
        <v>0.54</v>
      </c>
      <c r="D424">
        <v>0.28360000000000002</v>
      </c>
      <c r="E424">
        <v>4</v>
      </c>
      <c r="F424">
        <v>78</v>
      </c>
      <c r="G424">
        <v>82</v>
      </c>
    </row>
    <row r="425" spans="1:7" x14ac:dyDescent="0.3">
      <c r="A425">
        <v>424</v>
      </c>
      <c r="B425">
        <v>0.39389999999999997</v>
      </c>
      <c r="C425">
        <v>0.57999999999999996</v>
      </c>
      <c r="D425">
        <v>0.3881</v>
      </c>
      <c r="E425">
        <v>10</v>
      </c>
      <c r="F425">
        <v>94</v>
      </c>
      <c r="G425">
        <v>104</v>
      </c>
    </row>
    <row r="426" spans="1:7" x14ac:dyDescent="0.3">
      <c r="A426">
        <v>425</v>
      </c>
      <c r="B426">
        <v>0.33329999999999999</v>
      </c>
      <c r="C426">
        <v>0.56999999999999995</v>
      </c>
      <c r="D426">
        <v>0.32840000000000003</v>
      </c>
      <c r="E426">
        <v>7</v>
      </c>
      <c r="F426">
        <v>190</v>
      </c>
      <c r="G426">
        <v>197</v>
      </c>
    </row>
    <row r="427" spans="1:7" x14ac:dyDescent="0.3">
      <c r="A427">
        <v>426</v>
      </c>
      <c r="B427">
        <v>0.31819999999999998</v>
      </c>
      <c r="C427">
        <v>0.61</v>
      </c>
      <c r="D427">
        <v>0.28360000000000002</v>
      </c>
      <c r="E427">
        <v>5</v>
      </c>
      <c r="F427">
        <v>156</v>
      </c>
      <c r="G427">
        <v>161</v>
      </c>
    </row>
    <row r="428" spans="1:7" x14ac:dyDescent="0.3">
      <c r="A428">
        <v>427</v>
      </c>
      <c r="B428">
        <v>0.28789999999999999</v>
      </c>
      <c r="C428">
        <v>0.56999999999999995</v>
      </c>
      <c r="D428">
        <v>0.41789999999999999</v>
      </c>
      <c r="E428">
        <v>4</v>
      </c>
      <c r="F428">
        <v>108</v>
      </c>
      <c r="G428">
        <v>112</v>
      </c>
    </row>
    <row r="429" spans="1:7" x14ac:dyDescent="0.3">
      <c r="A429">
        <v>428</v>
      </c>
      <c r="B429">
        <v>0.30299999999999999</v>
      </c>
      <c r="C429">
        <v>0.49</v>
      </c>
      <c r="D429">
        <v>0.29849999999999999</v>
      </c>
      <c r="E429">
        <v>2</v>
      </c>
      <c r="F429">
        <v>74</v>
      </c>
      <c r="G429">
        <v>76</v>
      </c>
    </row>
    <row r="430" spans="1:7" x14ac:dyDescent="0.3">
      <c r="A430">
        <v>429</v>
      </c>
      <c r="B430">
        <v>0.28789999999999999</v>
      </c>
      <c r="C430">
        <v>0.49</v>
      </c>
      <c r="D430">
        <v>0.41789999999999999</v>
      </c>
      <c r="E430">
        <v>4</v>
      </c>
      <c r="F430">
        <v>55</v>
      </c>
      <c r="G430">
        <v>59</v>
      </c>
    </row>
    <row r="431" spans="1:7" x14ac:dyDescent="0.3">
      <c r="A431">
        <v>430</v>
      </c>
      <c r="B431">
        <v>0.30299999999999999</v>
      </c>
      <c r="C431">
        <v>0.52</v>
      </c>
      <c r="D431">
        <v>0.16420000000000001</v>
      </c>
      <c r="E431">
        <v>6</v>
      </c>
      <c r="F431">
        <v>53</v>
      </c>
      <c r="G431">
        <v>59</v>
      </c>
    </row>
    <row r="432" spans="1:7" x14ac:dyDescent="0.3">
      <c r="A432">
        <v>431</v>
      </c>
      <c r="B432">
        <v>0.2727</v>
      </c>
      <c r="C432">
        <v>0.52</v>
      </c>
      <c r="D432">
        <v>0.4627</v>
      </c>
      <c r="E432">
        <v>1</v>
      </c>
      <c r="F432">
        <v>27</v>
      </c>
      <c r="G432">
        <v>28</v>
      </c>
    </row>
    <row r="433" spans="1:7" x14ac:dyDescent="0.3">
      <c r="A433">
        <v>432</v>
      </c>
      <c r="B433">
        <v>0.2273</v>
      </c>
      <c r="C433">
        <v>0.56000000000000005</v>
      </c>
      <c r="D433">
        <v>0.3881</v>
      </c>
      <c r="E433">
        <v>5</v>
      </c>
      <c r="F433">
        <v>8</v>
      </c>
      <c r="G433">
        <v>13</v>
      </c>
    </row>
    <row r="434" spans="1:7" x14ac:dyDescent="0.3">
      <c r="A434">
        <v>433</v>
      </c>
      <c r="B434">
        <v>0.2727</v>
      </c>
      <c r="C434">
        <v>0.56000000000000005</v>
      </c>
      <c r="D434">
        <v>0</v>
      </c>
      <c r="E434">
        <v>2</v>
      </c>
      <c r="F434">
        <v>3</v>
      </c>
      <c r="G434">
        <v>5</v>
      </c>
    </row>
    <row r="435" spans="1:7" x14ac:dyDescent="0.3">
      <c r="A435">
        <v>434</v>
      </c>
      <c r="B435">
        <v>0.2727</v>
      </c>
      <c r="C435">
        <v>0.56000000000000005</v>
      </c>
      <c r="D435">
        <v>0</v>
      </c>
      <c r="E435">
        <v>0</v>
      </c>
      <c r="F435">
        <v>2</v>
      </c>
      <c r="G435">
        <v>2</v>
      </c>
    </row>
    <row r="436" spans="1:7" x14ac:dyDescent="0.3">
      <c r="A436">
        <v>435</v>
      </c>
      <c r="B436">
        <v>0.2576</v>
      </c>
      <c r="C436">
        <v>0.56000000000000005</v>
      </c>
      <c r="D436">
        <v>0.16420000000000001</v>
      </c>
      <c r="E436">
        <v>0</v>
      </c>
      <c r="F436">
        <v>1</v>
      </c>
      <c r="G436">
        <v>1</v>
      </c>
    </row>
    <row r="437" spans="1:7" x14ac:dyDescent="0.3">
      <c r="A437">
        <v>436</v>
      </c>
      <c r="B437">
        <v>0.2576</v>
      </c>
      <c r="C437">
        <v>0.56000000000000005</v>
      </c>
      <c r="D437">
        <v>0.16420000000000001</v>
      </c>
      <c r="E437">
        <v>0</v>
      </c>
      <c r="F437">
        <v>1</v>
      </c>
      <c r="G437">
        <v>1</v>
      </c>
    </row>
    <row r="438" spans="1:7" x14ac:dyDescent="0.3">
      <c r="A438">
        <v>437</v>
      </c>
      <c r="B438">
        <v>0.2273</v>
      </c>
      <c r="C438">
        <v>0.6</v>
      </c>
      <c r="D438">
        <v>0.22389999999999999</v>
      </c>
      <c r="E438">
        <v>0</v>
      </c>
      <c r="F438">
        <v>6</v>
      </c>
      <c r="G438">
        <v>6</v>
      </c>
    </row>
    <row r="439" spans="1:7" x14ac:dyDescent="0.3">
      <c r="A439">
        <v>438</v>
      </c>
      <c r="B439">
        <v>0.21210000000000001</v>
      </c>
      <c r="C439">
        <v>0.6</v>
      </c>
      <c r="D439">
        <v>0.22389999999999999</v>
      </c>
      <c r="E439">
        <v>0</v>
      </c>
      <c r="F439">
        <v>35</v>
      </c>
      <c r="G439">
        <v>35</v>
      </c>
    </row>
    <row r="440" spans="1:7" x14ac:dyDescent="0.3">
      <c r="A440">
        <v>439</v>
      </c>
      <c r="B440">
        <v>0.21210000000000001</v>
      </c>
      <c r="C440">
        <v>0.55000000000000004</v>
      </c>
      <c r="D440">
        <v>0.22389999999999999</v>
      </c>
      <c r="E440">
        <v>1</v>
      </c>
      <c r="F440">
        <v>100</v>
      </c>
      <c r="G440">
        <v>101</v>
      </c>
    </row>
    <row r="441" spans="1:7" x14ac:dyDescent="0.3">
      <c r="A441">
        <v>440</v>
      </c>
      <c r="B441">
        <v>0.21210000000000001</v>
      </c>
      <c r="C441">
        <v>0.55000000000000004</v>
      </c>
      <c r="D441">
        <v>0.28360000000000002</v>
      </c>
      <c r="E441">
        <v>2</v>
      </c>
      <c r="F441">
        <v>247</v>
      </c>
      <c r="G441">
        <v>249</v>
      </c>
    </row>
    <row r="442" spans="1:7" x14ac:dyDescent="0.3">
      <c r="A442">
        <v>441</v>
      </c>
      <c r="B442">
        <v>0.2273</v>
      </c>
      <c r="C442">
        <v>0.52</v>
      </c>
      <c r="D442">
        <v>0.22389999999999999</v>
      </c>
      <c r="E442">
        <v>3</v>
      </c>
      <c r="F442">
        <v>140</v>
      </c>
      <c r="G442">
        <v>143</v>
      </c>
    </row>
    <row r="443" spans="1:7" x14ac:dyDescent="0.3">
      <c r="A443">
        <v>442</v>
      </c>
      <c r="B443">
        <v>0.2273</v>
      </c>
      <c r="C443">
        <v>0.48</v>
      </c>
      <c r="D443">
        <v>0.29849999999999999</v>
      </c>
      <c r="E443">
        <v>1</v>
      </c>
      <c r="F443">
        <v>56</v>
      </c>
      <c r="G443">
        <v>57</v>
      </c>
    </row>
    <row r="444" spans="1:7" x14ac:dyDescent="0.3">
      <c r="A444">
        <v>443</v>
      </c>
      <c r="B444">
        <v>0.2727</v>
      </c>
      <c r="C444">
        <v>0.45</v>
      </c>
      <c r="D444">
        <v>0.16420000000000001</v>
      </c>
      <c r="E444">
        <v>5</v>
      </c>
      <c r="F444">
        <v>63</v>
      </c>
      <c r="G444">
        <v>68</v>
      </c>
    </row>
    <row r="445" spans="1:7" x14ac:dyDescent="0.3">
      <c r="A445">
        <v>444</v>
      </c>
      <c r="B445">
        <v>0.33329999999999999</v>
      </c>
      <c r="C445">
        <v>0.42</v>
      </c>
      <c r="D445">
        <v>0</v>
      </c>
      <c r="E445">
        <v>7</v>
      </c>
      <c r="F445">
        <v>77</v>
      </c>
      <c r="G445">
        <v>84</v>
      </c>
    </row>
    <row r="446" spans="1:7" x14ac:dyDescent="0.3">
      <c r="A446">
        <v>445</v>
      </c>
      <c r="B446">
        <v>0.28789999999999999</v>
      </c>
      <c r="C446">
        <v>0.45</v>
      </c>
      <c r="D446">
        <v>0.1045</v>
      </c>
      <c r="E446">
        <v>12</v>
      </c>
      <c r="F446">
        <v>86</v>
      </c>
      <c r="G446">
        <v>98</v>
      </c>
    </row>
    <row r="447" spans="1:7" x14ac:dyDescent="0.3">
      <c r="A447">
        <v>446</v>
      </c>
      <c r="B447">
        <v>0.30299999999999999</v>
      </c>
      <c r="C447">
        <v>0.45</v>
      </c>
      <c r="D447">
        <v>0.1343</v>
      </c>
      <c r="E447">
        <v>6</v>
      </c>
      <c r="F447">
        <v>75</v>
      </c>
      <c r="G447">
        <v>81</v>
      </c>
    </row>
    <row r="448" spans="1:7" x14ac:dyDescent="0.3">
      <c r="A448">
        <v>447</v>
      </c>
      <c r="B448">
        <v>0.31819999999999998</v>
      </c>
      <c r="C448">
        <v>0.45</v>
      </c>
      <c r="D448">
        <v>0.19400000000000001</v>
      </c>
      <c r="E448">
        <v>8</v>
      </c>
      <c r="F448">
        <v>62</v>
      </c>
      <c r="G448">
        <v>70</v>
      </c>
    </row>
    <row r="449" spans="1:7" x14ac:dyDescent="0.3">
      <c r="A449">
        <v>448</v>
      </c>
      <c r="B449">
        <v>0.30299999999999999</v>
      </c>
      <c r="C449">
        <v>0.49</v>
      </c>
      <c r="D449">
        <v>0.1343</v>
      </c>
      <c r="E449">
        <v>8</v>
      </c>
      <c r="F449">
        <v>83</v>
      </c>
      <c r="G449">
        <v>91</v>
      </c>
    </row>
    <row r="450" spans="1:7" x14ac:dyDescent="0.3">
      <c r="A450">
        <v>449</v>
      </c>
      <c r="B450">
        <v>0.31819999999999998</v>
      </c>
      <c r="C450">
        <v>0.49</v>
      </c>
      <c r="D450">
        <v>0.1045</v>
      </c>
      <c r="E450">
        <v>8</v>
      </c>
      <c r="F450">
        <v>207</v>
      </c>
      <c r="G450">
        <v>215</v>
      </c>
    </row>
    <row r="451" spans="1:7" x14ac:dyDescent="0.3">
      <c r="A451">
        <v>450</v>
      </c>
      <c r="B451">
        <v>0.2576</v>
      </c>
      <c r="C451">
        <v>0.56000000000000005</v>
      </c>
      <c r="D451">
        <v>0.19400000000000001</v>
      </c>
      <c r="E451">
        <v>1</v>
      </c>
      <c r="F451">
        <v>184</v>
      </c>
      <c r="G451">
        <v>185</v>
      </c>
    </row>
    <row r="452" spans="1:7" x14ac:dyDescent="0.3">
      <c r="A452">
        <v>451</v>
      </c>
      <c r="B452">
        <v>0.2273</v>
      </c>
      <c r="C452">
        <v>0.56000000000000005</v>
      </c>
      <c r="D452">
        <v>0.32840000000000003</v>
      </c>
      <c r="E452">
        <v>6</v>
      </c>
      <c r="F452">
        <v>146</v>
      </c>
      <c r="G452">
        <v>152</v>
      </c>
    </row>
    <row r="453" spans="1:7" x14ac:dyDescent="0.3">
      <c r="A453">
        <v>452</v>
      </c>
      <c r="B453">
        <v>0.2424</v>
      </c>
      <c r="C453">
        <v>0.6</v>
      </c>
      <c r="D453">
        <v>0.28360000000000002</v>
      </c>
      <c r="E453">
        <v>2</v>
      </c>
      <c r="F453">
        <v>124</v>
      </c>
      <c r="G453">
        <v>126</v>
      </c>
    </row>
    <row r="454" spans="1:7" x14ac:dyDescent="0.3">
      <c r="A454">
        <v>453</v>
      </c>
      <c r="B454">
        <v>0.2273</v>
      </c>
      <c r="C454">
        <v>0.6</v>
      </c>
      <c r="D454">
        <v>0.25369999999999998</v>
      </c>
      <c r="E454">
        <v>3</v>
      </c>
      <c r="F454">
        <v>54</v>
      </c>
      <c r="G454">
        <v>57</v>
      </c>
    </row>
    <row r="455" spans="1:7" x14ac:dyDescent="0.3">
      <c r="A455">
        <v>454</v>
      </c>
      <c r="B455">
        <v>0.21210000000000001</v>
      </c>
      <c r="C455">
        <v>0.65</v>
      </c>
      <c r="D455">
        <v>0.28360000000000002</v>
      </c>
      <c r="E455">
        <v>0</v>
      </c>
      <c r="F455">
        <v>56</v>
      </c>
      <c r="G455">
        <v>56</v>
      </c>
    </row>
    <row r="456" spans="1:7" x14ac:dyDescent="0.3">
      <c r="A456">
        <v>455</v>
      </c>
      <c r="B456">
        <v>0.21210000000000001</v>
      </c>
      <c r="C456">
        <v>0.65</v>
      </c>
      <c r="D456">
        <v>0.32840000000000003</v>
      </c>
      <c r="E456">
        <v>3</v>
      </c>
      <c r="F456">
        <v>28</v>
      </c>
      <c r="G456">
        <v>31</v>
      </c>
    </row>
    <row r="457" spans="1:7" x14ac:dyDescent="0.3">
      <c r="A457">
        <v>456</v>
      </c>
      <c r="B457">
        <v>0.2273</v>
      </c>
      <c r="C457">
        <v>0.7</v>
      </c>
      <c r="D457">
        <v>0.25369999999999998</v>
      </c>
      <c r="E457">
        <v>1</v>
      </c>
      <c r="F457">
        <v>20</v>
      </c>
      <c r="G457">
        <v>21</v>
      </c>
    </row>
    <row r="458" spans="1:7" x14ac:dyDescent="0.3">
      <c r="A458">
        <v>457</v>
      </c>
      <c r="B458">
        <v>0.2273</v>
      </c>
      <c r="C458">
        <v>0.7</v>
      </c>
      <c r="D458">
        <v>0.25369999999999998</v>
      </c>
      <c r="E458">
        <v>0</v>
      </c>
      <c r="F458">
        <v>6</v>
      </c>
      <c r="G458">
        <v>6</v>
      </c>
    </row>
    <row r="459" spans="1:7" x14ac:dyDescent="0.3">
      <c r="A459">
        <v>458</v>
      </c>
      <c r="B459">
        <v>0.2424</v>
      </c>
      <c r="C459">
        <v>0.75</v>
      </c>
      <c r="D459">
        <v>0.16420000000000001</v>
      </c>
      <c r="E459">
        <v>0</v>
      </c>
      <c r="F459">
        <v>2</v>
      </c>
      <c r="G459">
        <v>2</v>
      </c>
    </row>
    <row r="460" spans="1:7" x14ac:dyDescent="0.3">
      <c r="A460">
        <v>459</v>
      </c>
      <c r="B460">
        <v>0.21210000000000001</v>
      </c>
      <c r="C460">
        <v>0.8</v>
      </c>
      <c r="D460">
        <v>0.29849999999999999</v>
      </c>
      <c r="E460">
        <v>0</v>
      </c>
      <c r="F460">
        <v>1</v>
      </c>
      <c r="G460">
        <v>1</v>
      </c>
    </row>
    <row r="461" spans="1:7" x14ac:dyDescent="0.3">
      <c r="A461">
        <v>460</v>
      </c>
      <c r="B461">
        <v>0.2576</v>
      </c>
      <c r="C461">
        <v>0.87</v>
      </c>
      <c r="D461">
        <v>8.9599999999999999E-2</v>
      </c>
      <c r="E461">
        <v>0</v>
      </c>
      <c r="F461">
        <v>1</v>
      </c>
      <c r="G461">
        <v>1</v>
      </c>
    </row>
    <row r="462" spans="1:7" x14ac:dyDescent="0.3">
      <c r="A462">
        <v>461</v>
      </c>
      <c r="B462">
        <v>0.19700000000000001</v>
      </c>
      <c r="C462">
        <v>0.6</v>
      </c>
      <c r="D462">
        <v>0.41789999999999999</v>
      </c>
      <c r="E462">
        <v>1</v>
      </c>
      <c r="F462">
        <v>4</v>
      </c>
      <c r="G462">
        <v>5</v>
      </c>
    </row>
    <row r="463" spans="1:7" x14ac:dyDescent="0.3">
      <c r="A463">
        <v>462</v>
      </c>
      <c r="B463">
        <v>0.21210000000000001</v>
      </c>
      <c r="C463">
        <v>0.55000000000000004</v>
      </c>
      <c r="D463">
        <v>0.25369999999999998</v>
      </c>
      <c r="E463">
        <v>0</v>
      </c>
      <c r="F463">
        <v>27</v>
      </c>
      <c r="G463">
        <v>27</v>
      </c>
    </row>
    <row r="464" spans="1:7" x14ac:dyDescent="0.3">
      <c r="A464">
        <v>463</v>
      </c>
      <c r="B464">
        <v>0.18179999999999999</v>
      </c>
      <c r="C464">
        <v>0.51</v>
      </c>
      <c r="D464">
        <v>0.28360000000000002</v>
      </c>
      <c r="E464">
        <v>2</v>
      </c>
      <c r="F464">
        <v>66</v>
      </c>
      <c r="G464">
        <v>68</v>
      </c>
    </row>
    <row r="465" spans="1:7" x14ac:dyDescent="0.3">
      <c r="A465">
        <v>464</v>
      </c>
      <c r="B465">
        <v>0.18179999999999999</v>
      </c>
      <c r="C465">
        <v>0.47</v>
      </c>
      <c r="D465">
        <v>0.32840000000000003</v>
      </c>
      <c r="E465">
        <v>7</v>
      </c>
      <c r="F465">
        <v>210</v>
      </c>
      <c r="G465">
        <v>217</v>
      </c>
    </row>
    <row r="466" spans="1:7" x14ac:dyDescent="0.3">
      <c r="A466">
        <v>465</v>
      </c>
      <c r="B466">
        <v>0.18179999999999999</v>
      </c>
      <c r="C466">
        <v>0.51</v>
      </c>
      <c r="D466">
        <v>0.35820000000000002</v>
      </c>
      <c r="E466">
        <v>7</v>
      </c>
      <c r="F466">
        <v>159</v>
      </c>
      <c r="G466">
        <v>166</v>
      </c>
    </row>
    <row r="467" spans="1:7" x14ac:dyDescent="0.3">
      <c r="A467">
        <v>466</v>
      </c>
      <c r="B467">
        <v>0.16669999999999999</v>
      </c>
      <c r="C467">
        <v>0.47</v>
      </c>
      <c r="D467">
        <v>0.4627</v>
      </c>
      <c r="E467">
        <v>6</v>
      </c>
      <c r="F467">
        <v>57</v>
      </c>
      <c r="G467">
        <v>63</v>
      </c>
    </row>
    <row r="468" spans="1:7" x14ac:dyDescent="0.3">
      <c r="A468">
        <v>467</v>
      </c>
      <c r="B468">
        <v>0.18179999999999999</v>
      </c>
      <c r="C468">
        <v>0.41</v>
      </c>
      <c r="D468">
        <v>0.4627</v>
      </c>
      <c r="E468">
        <v>6</v>
      </c>
      <c r="F468">
        <v>53</v>
      </c>
      <c r="G468">
        <v>59</v>
      </c>
    </row>
    <row r="469" spans="1:7" x14ac:dyDescent="0.3">
      <c r="A469">
        <v>468</v>
      </c>
      <c r="B469">
        <v>0.18179999999999999</v>
      </c>
      <c r="C469">
        <v>0.27</v>
      </c>
      <c r="D469">
        <v>0.58209999999999995</v>
      </c>
      <c r="E469">
        <v>11</v>
      </c>
      <c r="F469">
        <v>67</v>
      </c>
      <c r="G469">
        <v>78</v>
      </c>
    </row>
    <row r="470" spans="1:7" x14ac:dyDescent="0.3">
      <c r="A470">
        <v>469</v>
      </c>
      <c r="B470">
        <v>0.1515</v>
      </c>
      <c r="C470">
        <v>0.21</v>
      </c>
      <c r="D470">
        <v>0.58209999999999995</v>
      </c>
      <c r="E470">
        <v>8</v>
      </c>
      <c r="F470">
        <v>65</v>
      </c>
      <c r="G470">
        <v>73</v>
      </c>
    </row>
    <row r="471" spans="1:7" x14ac:dyDescent="0.3">
      <c r="A471">
        <v>470</v>
      </c>
      <c r="B471">
        <v>0.1515</v>
      </c>
      <c r="C471">
        <v>0.25</v>
      </c>
      <c r="D471">
        <v>0.52239999999999998</v>
      </c>
      <c r="E471">
        <v>6</v>
      </c>
      <c r="F471">
        <v>56</v>
      </c>
      <c r="G471">
        <v>62</v>
      </c>
    </row>
    <row r="472" spans="1:7" x14ac:dyDescent="0.3">
      <c r="A472">
        <v>471</v>
      </c>
      <c r="B472">
        <v>0.1212</v>
      </c>
      <c r="C472">
        <v>0.26</v>
      </c>
      <c r="D472">
        <v>0.44779999999999998</v>
      </c>
      <c r="E472">
        <v>4</v>
      </c>
      <c r="F472">
        <v>61</v>
      </c>
      <c r="G472">
        <v>65</v>
      </c>
    </row>
    <row r="473" spans="1:7" x14ac:dyDescent="0.3">
      <c r="A473">
        <v>472</v>
      </c>
      <c r="B473">
        <v>0.13639999999999999</v>
      </c>
      <c r="C473">
        <v>0.26</v>
      </c>
      <c r="D473">
        <v>0.35820000000000002</v>
      </c>
      <c r="E473">
        <v>0</v>
      </c>
      <c r="F473">
        <v>97</v>
      </c>
      <c r="G473">
        <v>97</v>
      </c>
    </row>
    <row r="474" spans="1:7" x14ac:dyDescent="0.3">
      <c r="A474">
        <v>473</v>
      </c>
      <c r="B474">
        <v>0.1212</v>
      </c>
      <c r="C474">
        <v>0.28000000000000003</v>
      </c>
      <c r="D474">
        <v>0.35820000000000002</v>
      </c>
      <c r="E474">
        <v>10</v>
      </c>
      <c r="F474">
        <v>151</v>
      </c>
      <c r="G474">
        <v>161</v>
      </c>
    </row>
    <row r="475" spans="1:7" x14ac:dyDescent="0.3">
      <c r="A475">
        <v>474</v>
      </c>
      <c r="B475">
        <v>0.1212</v>
      </c>
      <c r="C475">
        <v>0.3</v>
      </c>
      <c r="D475">
        <v>0.25369999999999998</v>
      </c>
      <c r="E475">
        <v>1</v>
      </c>
      <c r="F475">
        <v>119</v>
      </c>
      <c r="G475">
        <v>120</v>
      </c>
    </row>
    <row r="476" spans="1:7" x14ac:dyDescent="0.3">
      <c r="A476">
        <v>475</v>
      </c>
      <c r="B476">
        <v>0.1061</v>
      </c>
      <c r="C476">
        <v>0.3</v>
      </c>
      <c r="D476">
        <v>0.32840000000000003</v>
      </c>
      <c r="E476">
        <v>3</v>
      </c>
      <c r="F476">
        <v>93</v>
      </c>
      <c r="G476">
        <v>96</v>
      </c>
    </row>
    <row r="477" spans="1:7" x14ac:dyDescent="0.3">
      <c r="A477">
        <v>476</v>
      </c>
      <c r="B477">
        <v>7.5800000000000006E-2</v>
      </c>
      <c r="C477">
        <v>0.33</v>
      </c>
      <c r="D477">
        <v>0.41789999999999999</v>
      </c>
      <c r="E477">
        <v>1</v>
      </c>
      <c r="F477">
        <v>52</v>
      </c>
      <c r="G477">
        <v>53</v>
      </c>
    </row>
    <row r="478" spans="1:7" x14ac:dyDescent="0.3">
      <c r="A478">
        <v>477</v>
      </c>
      <c r="B478">
        <v>7.5800000000000006E-2</v>
      </c>
      <c r="C478">
        <v>0.38</v>
      </c>
      <c r="D478">
        <v>0.28360000000000002</v>
      </c>
      <c r="E478">
        <v>0</v>
      </c>
      <c r="F478">
        <v>41</v>
      </c>
      <c r="G478">
        <v>41</v>
      </c>
    </row>
    <row r="479" spans="1:7" x14ac:dyDescent="0.3">
      <c r="A479">
        <v>478</v>
      </c>
      <c r="B479">
        <v>3.0300000000000001E-2</v>
      </c>
      <c r="C479">
        <v>0.41</v>
      </c>
      <c r="D479">
        <v>0.3881</v>
      </c>
      <c r="E479">
        <v>1</v>
      </c>
      <c r="F479">
        <v>33</v>
      </c>
      <c r="G479">
        <v>34</v>
      </c>
    </row>
    <row r="480" spans="1:7" x14ac:dyDescent="0.3">
      <c r="A480">
        <v>479</v>
      </c>
      <c r="B480">
        <v>4.5499999999999999E-2</v>
      </c>
      <c r="C480">
        <v>0.38</v>
      </c>
      <c r="D480">
        <v>0.32840000000000003</v>
      </c>
      <c r="E480">
        <v>0</v>
      </c>
      <c r="F480">
        <v>27</v>
      </c>
      <c r="G480">
        <v>27</v>
      </c>
    </row>
    <row r="481" spans="1:7" x14ac:dyDescent="0.3">
      <c r="A481">
        <v>480</v>
      </c>
      <c r="B481">
        <v>3.0300000000000001E-2</v>
      </c>
      <c r="C481">
        <v>0.45</v>
      </c>
      <c r="D481">
        <v>0.25369999999999998</v>
      </c>
      <c r="E481">
        <v>0</v>
      </c>
      <c r="F481">
        <v>13</v>
      </c>
      <c r="G481">
        <v>13</v>
      </c>
    </row>
    <row r="482" spans="1:7" x14ac:dyDescent="0.3">
      <c r="A482">
        <v>481</v>
      </c>
      <c r="B482">
        <v>0</v>
      </c>
      <c r="C482">
        <v>0.41</v>
      </c>
      <c r="D482">
        <v>0.3881</v>
      </c>
      <c r="E482">
        <v>3</v>
      </c>
      <c r="F482">
        <v>9</v>
      </c>
      <c r="G482">
        <v>12</v>
      </c>
    </row>
    <row r="483" spans="1:7" x14ac:dyDescent="0.3">
      <c r="A483">
        <v>482</v>
      </c>
      <c r="B483">
        <v>3.0300000000000001E-2</v>
      </c>
      <c r="C483">
        <v>0.41</v>
      </c>
      <c r="D483">
        <v>0.25369999999999998</v>
      </c>
      <c r="E483">
        <v>0</v>
      </c>
      <c r="F483">
        <v>11</v>
      </c>
      <c r="G483">
        <v>11</v>
      </c>
    </row>
    <row r="484" spans="1:7" x14ac:dyDescent="0.3">
      <c r="A484">
        <v>483</v>
      </c>
      <c r="B484">
        <v>3.0300000000000001E-2</v>
      </c>
      <c r="C484">
        <v>0.41</v>
      </c>
      <c r="D484">
        <v>0.28360000000000002</v>
      </c>
      <c r="E484">
        <v>1</v>
      </c>
      <c r="F484">
        <v>6</v>
      </c>
      <c r="G484">
        <v>7</v>
      </c>
    </row>
    <row r="485" spans="1:7" x14ac:dyDescent="0.3">
      <c r="A485">
        <v>484</v>
      </c>
      <c r="B485">
        <v>1.52E-2</v>
      </c>
      <c r="C485">
        <v>0.48</v>
      </c>
      <c r="D485">
        <v>0.29849999999999999</v>
      </c>
      <c r="E485">
        <v>0</v>
      </c>
      <c r="F485">
        <v>3</v>
      </c>
      <c r="G485">
        <v>3</v>
      </c>
    </row>
    <row r="486" spans="1:7" x14ac:dyDescent="0.3">
      <c r="A486">
        <v>485</v>
      </c>
      <c r="B486">
        <v>3.0300000000000001E-2</v>
      </c>
      <c r="C486">
        <v>0.44</v>
      </c>
      <c r="D486">
        <v>0.22389999999999999</v>
      </c>
      <c r="E486">
        <v>0</v>
      </c>
      <c r="F486">
        <v>2</v>
      </c>
      <c r="G486">
        <v>2</v>
      </c>
    </row>
    <row r="487" spans="1:7" x14ac:dyDescent="0.3">
      <c r="A487">
        <v>486</v>
      </c>
      <c r="B487">
        <v>1.52E-2</v>
      </c>
      <c r="C487">
        <v>0.44</v>
      </c>
      <c r="D487">
        <v>0.28360000000000002</v>
      </c>
      <c r="E487">
        <v>0</v>
      </c>
      <c r="F487">
        <v>8</v>
      </c>
      <c r="G487">
        <v>8</v>
      </c>
    </row>
    <row r="488" spans="1:7" x14ac:dyDescent="0.3">
      <c r="A488">
        <v>487</v>
      </c>
      <c r="B488">
        <v>0</v>
      </c>
      <c r="C488">
        <v>0.44</v>
      </c>
      <c r="D488">
        <v>0.32840000000000003</v>
      </c>
      <c r="E488">
        <v>1</v>
      </c>
      <c r="F488">
        <v>26</v>
      </c>
      <c r="G488">
        <v>27</v>
      </c>
    </row>
    <row r="489" spans="1:7" x14ac:dyDescent="0.3">
      <c r="A489">
        <v>488</v>
      </c>
      <c r="B489">
        <v>3.0300000000000001E-2</v>
      </c>
      <c r="C489">
        <v>0.41</v>
      </c>
      <c r="D489">
        <v>0.25369999999999998</v>
      </c>
      <c r="E489">
        <v>3</v>
      </c>
      <c r="F489">
        <v>37</v>
      </c>
      <c r="G489">
        <v>40</v>
      </c>
    </row>
    <row r="490" spans="1:7" x14ac:dyDescent="0.3">
      <c r="A490">
        <v>489</v>
      </c>
      <c r="B490">
        <v>6.0600000000000001E-2</v>
      </c>
      <c r="C490">
        <v>0.41</v>
      </c>
      <c r="D490">
        <v>0.16420000000000001</v>
      </c>
      <c r="E490">
        <v>3</v>
      </c>
      <c r="F490">
        <v>50</v>
      </c>
      <c r="G490">
        <v>53</v>
      </c>
    </row>
    <row r="491" spans="1:7" x14ac:dyDescent="0.3">
      <c r="A491">
        <v>490</v>
      </c>
      <c r="B491">
        <v>7.5800000000000006E-2</v>
      </c>
      <c r="C491">
        <v>0.38</v>
      </c>
      <c r="D491">
        <v>0.1343</v>
      </c>
      <c r="E491">
        <v>4</v>
      </c>
      <c r="F491">
        <v>59</v>
      </c>
      <c r="G491">
        <v>63</v>
      </c>
    </row>
    <row r="492" spans="1:7" x14ac:dyDescent="0.3">
      <c r="A492">
        <v>491</v>
      </c>
      <c r="B492">
        <v>0.1061</v>
      </c>
      <c r="C492">
        <v>0.38</v>
      </c>
      <c r="D492">
        <v>0.1045</v>
      </c>
      <c r="E492">
        <v>10</v>
      </c>
      <c r="F492">
        <v>60</v>
      </c>
      <c r="G492">
        <v>70</v>
      </c>
    </row>
    <row r="493" spans="1:7" x14ac:dyDescent="0.3">
      <c r="A493">
        <v>492</v>
      </c>
      <c r="B493">
        <v>0.16669999999999999</v>
      </c>
      <c r="C493">
        <v>0.35</v>
      </c>
      <c r="D493">
        <v>0</v>
      </c>
      <c r="E493">
        <v>12</v>
      </c>
      <c r="F493">
        <v>72</v>
      </c>
      <c r="G493">
        <v>84</v>
      </c>
    </row>
    <row r="494" spans="1:7" x14ac:dyDescent="0.3">
      <c r="A494">
        <v>493</v>
      </c>
      <c r="B494">
        <v>0.13639999999999999</v>
      </c>
      <c r="C494">
        <v>0.33</v>
      </c>
      <c r="D494">
        <v>0.1045</v>
      </c>
      <c r="E494">
        <v>11</v>
      </c>
      <c r="F494">
        <v>64</v>
      </c>
      <c r="G494">
        <v>75</v>
      </c>
    </row>
    <row r="495" spans="1:7" x14ac:dyDescent="0.3">
      <c r="A495">
        <v>494</v>
      </c>
      <c r="B495">
        <v>0.1515</v>
      </c>
      <c r="C495">
        <v>0.28000000000000003</v>
      </c>
      <c r="D495">
        <v>0</v>
      </c>
      <c r="E495">
        <v>10</v>
      </c>
      <c r="F495">
        <v>93</v>
      </c>
      <c r="G495">
        <v>103</v>
      </c>
    </row>
    <row r="496" spans="1:7" x14ac:dyDescent="0.3">
      <c r="A496">
        <v>495</v>
      </c>
      <c r="B496">
        <v>0.13639999999999999</v>
      </c>
      <c r="C496">
        <v>0.28000000000000003</v>
      </c>
      <c r="D496">
        <v>0.19400000000000001</v>
      </c>
      <c r="E496">
        <v>11</v>
      </c>
      <c r="F496">
        <v>72</v>
      </c>
      <c r="G496">
        <v>83</v>
      </c>
    </row>
    <row r="497" spans="1:7" x14ac:dyDescent="0.3">
      <c r="A497">
        <v>496</v>
      </c>
      <c r="B497">
        <v>0.19700000000000001</v>
      </c>
      <c r="C497">
        <v>0.28000000000000003</v>
      </c>
      <c r="D497">
        <v>0</v>
      </c>
      <c r="E497">
        <v>8</v>
      </c>
      <c r="F497">
        <v>59</v>
      </c>
      <c r="G497">
        <v>67</v>
      </c>
    </row>
    <row r="498" spans="1:7" x14ac:dyDescent="0.3">
      <c r="A498">
        <v>497</v>
      </c>
      <c r="B498">
        <v>9.0899999999999995E-2</v>
      </c>
      <c r="C498">
        <v>0.35</v>
      </c>
      <c r="D498">
        <v>0.19400000000000001</v>
      </c>
      <c r="E498">
        <v>0</v>
      </c>
      <c r="F498">
        <v>54</v>
      </c>
      <c r="G498">
        <v>54</v>
      </c>
    </row>
    <row r="499" spans="1:7" x14ac:dyDescent="0.3">
      <c r="A499">
        <v>498</v>
      </c>
      <c r="B499">
        <v>0.1061</v>
      </c>
      <c r="C499">
        <v>0.35</v>
      </c>
      <c r="D499">
        <v>0.1343</v>
      </c>
      <c r="E499">
        <v>6</v>
      </c>
      <c r="F499">
        <v>53</v>
      </c>
      <c r="G499">
        <v>59</v>
      </c>
    </row>
    <row r="500" spans="1:7" x14ac:dyDescent="0.3">
      <c r="A500">
        <v>499</v>
      </c>
      <c r="B500">
        <v>7.5800000000000006E-2</v>
      </c>
      <c r="C500">
        <v>0.45</v>
      </c>
      <c r="D500">
        <v>0.16420000000000001</v>
      </c>
      <c r="E500">
        <v>1</v>
      </c>
      <c r="F500">
        <v>44</v>
      </c>
      <c r="G500">
        <v>45</v>
      </c>
    </row>
    <row r="501" spans="1:7" x14ac:dyDescent="0.3">
      <c r="A501">
        <v>500</v>
      </c>
      <c r="B501">
        <v>0.1061</v>
      </c>
      <c r="C501">
        <v>0.41</v>
      </c>
      <c r="D501">
        <v>8.9599999999999999E-2</v>
      </c>
      <c r="E501">
        <v>0</v>
      </c>
      <c r="F501">
        <v>39</v>
      </c>
      <c r="G501">
        <v>39</v>
      </c>
    </row>
    <row r="502" spans="1:7" x14ac:dyDescent="0.3">
      <c r="A502">
        <v>501</v>
      </c>
      <c r="B502">
        <v>0.1515</v>
      </c>
      <c r="C502">
        <v>0.49</v>
      </c>
      <c r="D502">
        <v>0</v>
      </c>
      <c r="E502">
        <v>7</v>
      </c>
      <c r="F502">
        <v>23</v>
      </c>
      <c r="G502">
        <v>30</v>
      </c>
    </row>
    <row r="503" spans="1:7" x14ac:dyDescent="0.3">
      <c r="A503">
        <v>502</v>
      </c>
      <c r="B503">
        <v>7.5800000000000006E-2</v>
      </c>
      <c r="C503">
        <v>0.56999999999999995</v>
      </c>
      <c r="D503">
        <v>0.1045</v>
      </c>
      <c r="E503">
        <v>2</v>
      </c>
      <c r="F503">
        <v>31</v>
      </c>
      <c r="G503">
        <v>33</v>
      </c>
    </row>
    <row r="504" spans="1:7" x14ac:dyDescent="0.3">
      <c r="A504">
        <v>503</v>
      </c>
      <c r="B504">
        <v>7.5800000000000006E-2</v>
      </c>
      <c r="C504">
        <v>0.56999999999999995</v>
      </c>
      <c r="D504">
        <v>0.1045</v>
      </c>
      <c r="E504">
        <v>2</v>
      </c>
      <c r="F504">
        <v>20</v>
      </c>
      <c r="G504">
        <v>22</v>
      </c>
    </row>
    <row r="505" spans="1:7" x14ac:dyDescent="0.3">
      <c r="A505">
        <v>504</v>
      </c>
      <c r="B505">
        <v>7.5800000000000006E-2</v>
      </c>
      <c r="C505">
        <v>0.56999999999999995</v>
      </c>
      <c r="D505">
        <v>0.1045</v>
      </c>
      <c r="E505">
        <v>1</v>
      </c>
      <c r="F505">
        <v>12</v>
      </c>
      <c r="G505">
        <v>13</v>
      </c>
    </row>
    <row r="506" spans="1:7" x14ac:dyDescent="0.3">
      <c r="A506">
        <v>505</v>
      </c>
      <c r="B506">
        <v>6.0600000000000001E-2</v>
      </c>
      <c r="C506">
        <v>0.62</v>
      </c>
      <c r="D506">
        <v>0.1343</v>
      </c>
      <c r="E506">
        <v>3</v>
      </c>
      <c r="F506">
        <v>15</v>
      </c>
      <c r="G506">
        <v>18</v>
      </c>
    </row>
    <row r="507" spans="1:7" x14ac:dyDescent="0.3">
      <c r="A507">
        <v>506</v>
      </c>
      <c r="B507">
        <v>6.0600000000000001E-2</v>
      </c>
      <c r="C507">
        <v>0.62</v>
      </c>
      <c r="D507">
        <v>0.1343</v>
      </c>
      <c r="E507">
        <v>1</v>
      </c>
      <c r="F507">
        <v>4</v>
      </c>
      <c r="G507">
        <v>5</v>
      </c>
    </row>
    <row r="508" spans="1:7" x14ac:dyDescent="0.3">
      <c r="A508">
        <v>507</v>
      </c>
      <c r="B508">
        <v>7.5800000000000006E-2</v>
      </c>
      <c r="C508">
        <v>0.56999999999999995</v>
      </c>
      <c r="D508">
        <v>0.1045</v>
      </c>
      <c r="E508">
        <v>0</v>
      </c>
      <c r="F508">
        <v>3</v>
      </c>
      <c r="G508">
        <v>3</v>
      </c>
    </row>
    <row r="509" spans="1:7" x14ac:dyDescent="0.3">
      <c r="A509">
        <v>508</v>
      </c>
      <c r="B509">
        <v>7.5800000000000006E-2</v>
      </c>
      <c r="C509">
        <v>0.56999999999999995</v>
      </c>
      <c r="D509">
        <v>0.1045</v>
      </c>
      <c r="E509">
        <v>0</v>
      </c>
      <c r="F509">
        <v>1</v>
      </c>
      <c r="G509">
        <v>1</v>
      </c>
    </row>
    <row r="510" spans="1:7" x14ac:dyDescent="0.3">
      <c r="A510">
        <v>509</v>
      </c>
      <c r="B510">
        <v>0.1061</v>
      </c>
      <c r="C510">
        <v>0.57999999999999996</v>
      </c>
      <c r="D510">
        <v>0.16420000000000001</v>
      </c>
      <c r="E510">
        <v>1</v>
      </c>
      <c r="F510">
        <v>1</v>
      </c>
      <c r="G510">
        <v>2</v>
      </c>
    </row>
    <row r="511" spans="1:7" x14ac:dyDescent="0.3">
      <c r="A511">
        <v>510</v>
      </c>
      <c r="B511">
        <v>7.5800000000000006E-2</v>
      </c>
      <c r="C511">
        <v>0.62</v>
      </c>
      <c r="D511">
        <v>0.16420000000000001</v>
      </c>
      <c r="E511">
        <v>2</v>
      </c>
      <c r="F511">
        <v>17</v>
      </c>
      <c r="G511">
        <v>19</v>
      </c>
    </row>
    <row r="512" spans="1:7" x14ac:dyDescent="0.3">
      <c r="A512">
        <v>511</v>
      </c>
      <c r="B512">
        <v>7.5800000000000006E-2</v>
      </c>
      <c r="C512">
        <v>0.54</v>
      </c>
      <c r="D512">
        <v>0.35820000000000002</v>
      </c>
      <c r="E512">
        <v>3</v>
      </c>
      <c r="F512">
        <v>25</v>
      </c>
      <c r="G512">
        <v>28</v>
      </c>
    </row>
    <row r="513" spans="1:7" x14ac:dyDescent="0.3">
      <c r="A513">
        <v>512</v>
      </c>
      <c r="B513">
        <v>0.1061</v>
      </c>
      <c r="C513">
        <v>0.46</v>
      </c>
      <c r="D513">
        <v>0.3881</v>
      </c>
      <c r="E513">
        <v>7</v>
      </c>
      <c r="F513">
        <v>51</v>
      </c>
      <c r="G513">
        <v>58</v>
      </c>
    </row>
    <row r="514" spans="1:7" x14ac:dyDescent="0.3">
      <c r="A514">
        <v>513</v>
      </c>
      <c r="B514">
        <v>0.13639999999999999</v>
      </c>
      <c r="C514">
        <v>0.43</v>
      </c>
      <c r="D514">
        <v>0.22389999999999999</v>
      </c>
      <c r="E514">
        <v>22</v>
      </c>
      <c r="F514">
        <v>77</v>
      </c>
      <c r="G514">
        <v>99</v>
      </c>
    </row>
    <row r="515" spans="1:7" x14ac:dyDescent="0.3">
      <c r="A515">
        <v>514</v>
      </c>
      <c r="B515">
        <v>0.1212</v>
      </c>
      <c r="C515">
        <v>0.37</v>
      </c>
      <c r="D515">
        <v>0.4627</v>
      </c>
      <c r="E515">
        <v>24</v>
      </c>
      <c r="F515">
        <v>92</v>
      </c>
      <c r="G515">
        <v>116</v>
      </c>
    </row>
    <row r="516" spans="1:7" x14ac:dyDescent="0.3">
      <c r="A516">
        <v>515</v>
      </c>
      <c r="B516">
        <v>0.1061</v>
      </c>
      <c r="C516">
        <v>0.33</v>
      </c>
      <c r="D516">
        <v>0.3881</v>
      </c>
      <c r="E516">
        <v>12</v>
      </c>
      <c r="F516">
        <v>75</v>
      </c>
      <c r="G516">
        <v>87</v>
      </c>
    </row>
    <row r="517" spans="1:7" x14ac:dyDescent="0.3">
      <c r="A517">
        <v>516</v>
      </c>
      <c r="B517">
        <v>0.13639999999999999</v>
      </c>
      <c r="C517">
        <v>0.28000000000000003</v>
      </c>
      <c r="D517">
        <v>0.35820000000000002</v>
      </c>
      <c r="E517">
        <v>17</v>
      </c>
      <c r="F517">
        <v>93</v>
      </c>
      <c r="G517">
        <v>110</v>
      </c>
    </row>
    <row r="518" spans="1:7" x14ac:dyDescent="0.3">
      <c r="A518">
        <v>517</v>
      </c>
      <c r="B518">
        <v>0.13639999999999999</v>
      </c>
      <c r="C518">
        <v>0.28000000000000003</v>
      </c>
      <c r="D518">
        <v>0.35820000000000002</v>
      </c>
      <c r="E518">
        <v>13</v>
      </c>
      <c r="F518">
        <v>64</v>
      </c>
      <c r="G518">
        <v>77</v>
      </c>
    </row>
    <row r="519" spans="1:7" x14ac:dyDescent="0.3">
      <c r="A519">
        <v>518</v>
      </c>
      <c r="B519">
        <v>0.13639999999999999</v>
      </c>
      <c r="C519">
        <v>0.26</v>
      </c>
      <c r="D519">
        <v>0.32840000000000003</v>
      </c>
      <c r="E519">
        <v>9</v>
      </c>
      <c r="F519">
        <v>56</v>
      </c>
      <c r="G519">
        <v>65</v>
      </c>
    </row>
    <row r="520" spans="1:7" x14ac:dyDescent="0.3">
      <c r="A520">
        <v>519</v>
      </c>
      <c r="B520">
        <v>0.1061</v>
      </c>
      <c r="C520">
        <v>0.26</v>
      </c>
      <c r="D520">
        <v>0.3881</v>
      </c>
      <c r="E520">
        <v>5</v>
      </c>
      <c r="F520">
        <v>50</v>
      </c>
      <c r="G520">
        <v>55</v>
      </c>
    </row>
    <row r="521" spans="1:7" x14ac:dyDescent="0.3">
      <c r="A521">
        <v>520</v>
      </c>
      <c r="B521">
        <v>0.1212</v>
      </c>
      <c r="C521">
        <v>0.3</v>
      </c>
      <c r="D521">
        <v>0.25369999999999998</v>
      </c>
      <c r="E521">
        <v>5</v>
      </c>
      <c r="F521">
        <v>44</v>
      </c>
      <c r="G521">
        <v>49</v>
      </c>
    </row>
    <row r="522" spans="1:7" x14ac:dyDescent="0.3">
      <c r="A522">
        <v>521</v>
      </c>
      <c r="B522">
        <v>0.1212</v>
      </c>
      <c r="C522">
        <v>0.3</v>
      </c>
      <c r="D522">
        <v>0.28360000000000002</v>
      </c>
      <c r="E522">
        <v>5</v>
      </c>
      <c r="F522">
        <v>45</v>
      </c>
      <c r="G522">
        <v>50</v>
      </c>
    </row>
    <row r="523" spans="1:7" x14ac:dyDescent="0.3">
      <c r="A523">
        <v>522</v>
      </c>
      <c r="B523">
        <v>0.1061</v>
      </c>
      <c r="C523">
        <v>0.36</v>
      </c>
      <c r="D523">
        <v>0.25369999999999998</v>
      </c>
      <c r="E523">
        <v>4</v>
      </c>
      <c r="F523">
        <v>31</v>
      </c>
      <c r="G523">
        <v>35</v>
      </c>
    </row>
    <row r="524" spans="1:7" x14ac:dyDescent="0.3">
      <c r="A524">
        <v>523</v>
      </c>
      <c r="B524">
        <v>0.1061</v>
      </c>
      <c r="C524">
        <v>0.36</v>
      </c>
      <c r="D524">
        <v>0.19400000000000001</v>
      </c>
      <c r="E524">
        <v>5</v>
      </c>
      <c r="F524">
        <v>20</v>
      </c>
      <c r="G524">
        <v>25</v>
      </c>
    </row>
    <row r="525" spans="1:7" x14ac:dyDescent="0.3">
      <c r="A525">
        <v>524</v>
      </c>
      <c r="B525">
        <v>9.0899999999999995E-2</v>
      </c>
      <c r="C525">
        <v>0.38</v>
      </c>
      <c r="D525">
        <v>0.19400000000000001</v>
      </c>
      <c r="E525">
        <v>5</v>
      </c>
      <c r="F525">
        <v>23</v>
      </c>
      <c r="G525">
        <v>28</v>
      </c>
    </row>
    <row r="526" spans="1:7" x14ac:dyDescent="0.3">
      <c r="A526">
        <v>525</v>
      </c>
      <c r="B526">
        <v>6.0600000000000001E-2</v>
      </c>
      <c r="C526">
        <v>0.41</v>
      </c>
      <c r="D526">
        <v>0.22389999999999999</v>
      </c>
      <c r="E526">
        <v>4</v>
      </c>
      <c r="F526">
        <v>17</v>
      </c>
      <c r="G526">
        <v>21</v>
      </c>
    </row>
    <row r="527" spans="1:7" x14ac:dyDescent="0.3">
      <c r="A527">
        <v>526</v>
      </c>
      <c r="B527">
        <v>6.0600000000000001E-2</v>
      </c>
      <c r="C527">
        <v>0.41</v>
      </c>
      <c r="D527">
        <v>0.19400000000000001</v>
      </c>
      <c r="E527">
        <v>0</v>
      </c>
      <c r="F527">
        <v>7</v>
      </c>
      <c r="G527">
        <v>7</v>
      </c>
    </row>
    <row r="528" spans="1:7" x14ac:dyDescent="0.3">
      <c r="A528">
        <v>527</v>
      </c>
      <c r="B528">
        <v>4.5499999999999999E-2</v>
      </c>
      <c r="C528">
        <v>0.45</v>
      </c>
      <c r="D528">
        <v>0.19400000000000001</v>
      </c>
      <c r="E528">
        <v>0</v>
      </c>
      <c r="F528">
        <v>1</v>
      </c>
      <c r="G528">
        <v>1</v>
      </c>
    </row>
    <row r="529" spans="1:7" x14ac:dyDescent="0.3">
      <c r="A529">
        <v>528</v>
      </c>
      <c r="B529">
        <v>3.0300000000000001E-2</v>
      </c>
      <c r="C529">
        <v>0.45</v>
      </c>
      <c r="D529">
        <v>0.25369999999999998</v>
      </c>
      <c r="E529">
        <v>0</v>
      </c>
      <c r="F529">
        <v>1</v>
      </c>
      <c r="G529">
        <v>1</v>
      </c>
    </row>
    <row r="530" spans="1:7" x14ac:dyDescent="0.3">
      <c r="A530">
        <v>529</v>
      </c>
      <c r="B530">
        <v>6.0600000000000001E-2</v>
      </c>
      <c r="C530">
        <v>0.48</v>
      </c>
      <c r="D530">
        <v>0.1343</v>
      </c>
      <c r="E530">
        <v>0</v>
      </c>
      <c r="F530">
        <v>1</v>
      </c>
      <c r="G530">
        <v>1</v>
      </c>
    </row>
    <row r="531" spans="1:7" x14ac:dyDescent="0.3">
      <c r="A531">
        <v>530</v>
      </c>
      <c r="B531">
        <v>6.0600000000000001E-2</v>
      </c>
      <c r="C531">
        <v>0.48</v>
      </c>
      <c r="D531">
        <v>0.1343</v>
      </c>
      <c r="E531">
        <v>0</v>
      </c>
      <c r="F531">
        <v>5</v>
      </c>
      <c r="G531">
        <v>5</v>
      </c>
    </row>
    <row r="532" spans="1:7" x14ac:dyDescent="0.3">
      <c r="A532">
        <v>531</v>
      </c>
      <c r="B532">
        <v>7.5800000000000006E-2</v>
      </c>
      <c r="C532">
        <v>0.48</v>
      </c>
      <c r="D532">
        <v>8.9599999999999999E-2</v>
      </c>
      <c r="E532">
        <v>0</v>
      </c>
      <c r="F532">
        <v>15</v>
      </c>
      <c r="G532">
        <v>15</v>
      </c>
    </row>
    <row r="533" spans="1:7" x14ac:dyDescent="0.3">
      <c r="A533">
        <v>532</v>
      </c>
      <c r="B533">
        <v>0.1212</v>
      </c>
      <c r="C533">
        <v>0.48</v>
      </c>
      <c r="D533">
        <v>0</v>
      </c>
      <c r="E533">
        <v>5</v>
      </c>
      <c r="F533">
        <v>79</v>
      </c>
      <c r="G533">
        <v>84</v>
      </c>
    </row>
    <row r="534" spans="1:7" x14ac:dyDescent="0.3">
      <c r="A534">
        <v>533</v>
      </c>
      <c r="B534">
        <v>0.13639999999999999</v>
      </c>
      <c r="C534">
        <v>0.49</v>
      </c>
      <c r="D534">
        <v>0</v>
      </c>
      <c r="E534">
        <v>6</v>
      </c>
      <c r="F534">
        <v>171</v>
      </c>
      <c r="G534">
        <v>177</v>
      </c>
    </row>
    <row r="535" spans="1:7" x14ac:dyDescent="0.3">
      <c r="A535">
        <v>534</v>
      </c>
      <c r="B535">
        <v>0.1515</v>
      </c>
      <c r="C535">
        <v>0.41</v>
      </c>
      <c r="D535">
        <v>0</v>
      </c>
      <c r="E535">
        <v>4</v>
      </c>
      <c r="F535">
        <v>98</v>
      </c>
      <c r="G535">
        <v>102</v>
      </c>
    </row>
    <row r="536" spans="1:7" x14ac:dyDescent="0.3">
      <c r="A536">
        <v>535</v>
      </c>
      <c r="B536">
        <v>0.13639999999999999</v>
      </c>
      <c r="C536">
        <v>0.42</v>
      </c>
      <c r="D536">
        <v>0</v>
      </c>
      <c r="E536">
        <v>6</v>
      </c>
      <c r="F536">
        <v>34</v>
      </c>
      <c r="G536">
        <v>40</v>
      </c>
    </row>
    <row r="537" spans="1:7" x14ac:dyDescent="0.3">
      <c r="A537">
        <v>536</v>
      </c>
      <c r="B537">
        <v>0.1212</v>
      </c>
      <c r="C537">
        <v>0.46</v>
      </c>
      <c r="D537">
        <v>0.1343</v>
      </c>
      <c r="E537">
        <v>3</v>
      </c>
      <c r="F537">
        <v>43</v>
      </c>
      <c r="G537">
        <v>46</v>
      </c>
    </row>
    <row r="538" spans="1:7" x14ac:dyDescent="0.3">
      <c r="A538">
        <v>537</v>
      </c>
      <c r="B538">
        <v>0.13639999999999999</v>
      </c>
      <c r="C538">
        <v>0.42</v>
      </c>
      <c r="D538">
        <v>0.19400000000000001</v>
      </c>
      <c r="E538">
        <v>11</v>
      </c>
      <c r="F538">
        <v>52</v>
      </c>
      <c r="G538">
        <v>63</v>
      </c>
    </row>
    <row r="539" spans="1:7" x14ac:dyDescent="0.3">
      <c r="A539">
        <v>538</v>
      </c>
      <c r="B539">
        <v>0.13639999999999999</v>
      </c>
      <c r="C539">
        <v>0.43</v>
      </c>
      <c r="D539">
        <v>0.22389999999999999</v>
      </c>
      <c r="E539">
        <v>6</v>
      </c>
      <c r="F539">
        <v>54</v>
      </c>
      <c r="G539">
        <v>60</v>
      </c>
    </row>
    <row r="540" spans="1:7" x14ac:dyDescent="0.3">
      <c r="A540">
        <v>539</v>
      </c>
      <c r="B540">
        <v>0.13639999999999999</v>
      </c>
      <c r="C540">
        <v>0.46</v>
      </c>
      <c r="D540">
        <v>0.22389999999999999</v>
      </c>
      <c r="E540">
        <v>2</v>
      </c>
      <c r="F540">
        <v>43</v>
      </c>
      <c r="G540">
        <v>45</v>
      </c>
    </row>
    <row r="541" spans="1:7" x14ac:dyDescent="0.3">
      <c r="A541">
        <v>540</v>
      </c>
      <c r="B541">
        <v>0.16669999999999999</v>
      </c>
      <c r="C541">
        <v>0.4</v>
      </c>
      <c r="D541">
        <v>0.16420000000000001</v>
      </c>
      <c r="E541">
        <v>7</v>
      </c>
      <c r="F541">
        <v>50</v>
      </c>
      <c r="G541">
        <v>57</v>
      </c>
    </row>
    <row r="542" spans="1:7" x14ac:dyDescent="0.3">
      <c r="A542">
        <v>541</v>
      </c>
      <c r="B542">
        <v>0.1515</v>
      </c>
      <c r="C542">
        <v>0.47</v>
      </c>
      <c r="D542">
        <v>0.25369999999999998</v>
      </c>
      <c r="E542">
        <v>4</v>
      </c>
      <c r="F542">
        <v>66</v>
      </c>
      <c r="G542">
        <v>70</v>
      </c>
    </row>
    <row r="543" spans="1:7" x14ac:dyDescent="0.3">
      <c r="A543">
        <v>542</v>
      </c>
      <c r="B543">
        <v>0.1212</v>
      </c>
      <c r="C543">
        <v>0.5</v>
      </c>
      <c r="D543">
        <v>0.25369999999999998</v>
      </c>
      <c r="E543">
        <v>6</v>
      </c>
      <c r="F543">
        <v>178</v>
      </c>
      <c r="G543">
        <v>184</v>
      </c>
    </row>
    <row r="544" spans="1:7" x14ac:dyDescent="0.3">
      <c r="A544">
        <v>543</v>
      </c>
      <c r="B544">
        <v>0.13639999999999999</v>
      </c>
      <c r="C544">
        <v>0.59</v>
      </c>
      <c r="D544">
        <v>0.19400000000000001</v>
      </c>
      <c r="E544">
        <v>8</v>
      </c>
      <c r="F544">
        <v>145</v>
      </c>
      <c r="G544">
        <v>153</v>
      </c>
    </row>
    <row r="545" spans="1:7" x14ac:dyDescent="0.3">
      <c r="A545">
        <v>544</v>
      </c>
      <c r="B545">
        <v>0.1515</v>
      </c>
      <c r="C545">
        <v>0.54</v>
      </c>
      <c r="D545">
        <v>0.16420000000000001</v>
      </c>
      <c r="E545">
        <v>5</v>
      </c>
      <c r="F545">
        <v>101</v>
      </c>
      <c r="G545">
        <v>106</v>
      </c>
    </row>
    <row r="546" spans="1:7" x14ac:dyDescent="0.3">
      <c r="A546">
        <v>545</v>
      </c>
      <c r="B546">
        <v>0.13639999999999999</v>
      </c>
      <c r="C546">
        <v>0.59</v>
      </c>
      <c r="D546">
        <v>0.19400000000000001</v>
      </c>
      <c r="E546">
        <v>1</v>
      </c>
      <c r="F546">
        <v>80</v>
      </c>
      <c r="G546">
        <v>81</v>
      </c>
    </row>
    <row r="547" spans="1:7" x14ac:dyDescent="0.3">
      <c r="A547">
        <v>546</v>
      </c>
      <c r="B547">
        <v>0.1515</v>
      </c>
      <c r="C547">
        <v>0.63</v>
      </c>
      <c r="D547">
        <v>0.16420000000000001</v>
      </c>
      <c r="E547">
        <v>6</v>
      </c>
      <c r="F547">
        <v>53</v>
      </c>
      <c r="G547">
        <v>59</v>
      </c>
    </row>
    <row r="548" spans="1:7" x14ac:dyDescent="0.3">
      <c r="A548">
        <v>547</v>
      </c>
      <c r="B548">
        <v>0.13639999999999999</v>
      </c>
      <c r="C548">
        <v>0.63</v>
      </c>
      <c r="D548">
        <v>0.22389999999999999</v>
      </c>
      <c r="E548">
        <v>3</v>
      </c>
      <c r="F548">
        <v>32</v>
      </c>
      <c r="G548">
        <v>35</v>
      </c>
    </row>
    <row r="549" spans="1:7" x14ac:dyDescent="0.3">
      <c r="A549">
        <v>548</v>
      </c>
      <c r="B549">
        <v>0.1515</v>
      </c>
      <c r="C549">
        <v>0.64</v>
      </c>
      <c r="D549">
        <v>0.25369999999999998</v>
      </c>
      <c r="E549">
        <v>3</v>
      </c>
      <c r="F549">
        <v>21</v>
      </c>
      <c r="G549">
        <v>24</v>
      </c>
    </row>
    <row r="550" spans="1:7" x14ac:dyDescent="0.3">
      <c r="A550">
        <v>549</v>
      </c>
      <c r="B550">
        <v>0.13639999999999999</v>
      </c>
      <c r="C550">
        <v>0.69</v>
      </c>
      <c r="D550">
        <v>0.28360000000000002</v>
      </c>
      <c r="E550">
        <v>3</v>
      </c>
      <c r="F550">
        <v>6</v>
      </c>
      <c r="G550">
        <v>9</v>
      </c>
    </row>
    <row r="551" spans="1:7" x14ac:dyDescent="0.3">
      <c r="A551">
        <v>550</v>
      </c>
      <c r="B551">
        <v>0.16669999999999999</v>
      </c>
      <c r="C551">
        <v>0.69</v>
      </c>
      <c r="D551">
        <v>0.16420000000000001</v>
      </c>
      <c r="E551">
        <v>0</v>
      </c>
      <c r="F551">
        <v>5</v>
      </c>
      <c r="G551">
        <v>5</v>
      </c>
    </row>
    <row r="552" spans="1:7" x14ac:dyDescent="0.3">
      <c r="A552">
        <v>551</v>
      </c>
      <c r="B552">
        <v>0.1515</v>
      </c>
      <c r="C552">
        <v>0.69</v>
      </c>
      <c r="D552">
        <v>0.22389999999999999</v>
      </c>
      <c r="E552">
        <v>0</v>
      </c>
      <c r="F552">
        <v>2</v>
      </c>
      <c r="G552">
        <v>2</v>
      </c>
    </row>
    <row r="553" spans="1:7" x14ac:dyDescent="0.3">
      <c r="A553">
        <v>552</v>
      </c>
      <c r="B553">
        <v>0.16669999999999999</v>
      </c>
      <c r="C553">
        <v>0.74</v>
      </c>
      <c r="D553">
        <v>0.1045</v>
      </c>
      <c r="E553">
        <v>0</v>
      </c>
      <c r="F553">
        <v>1</v>
      </c>
      <c r="G553">
        <v>1</v>
      </c>
    </row>
    <row r="554" spans="1:7" x14ac:dyDescent="0.3">
      <c r="A554">
        <v>553</v>
      </c>
      <c r="B554">
        <v>0.13639999999999999</v>
      </c>
      <c r="C554">
        <v>0.74</v>
      </c>
      <c r="D554">
        <v>0.22389999999999999</v>
      </c>
      <c r="E554">
        <v>0</v>
      </c>
      <c r="F554">
        <v>9</v>
      </c>
      <c r="G554">
        <v>9</v>
      </c>
    </row>
    <row r="555" spans="1:7" x14ac:dyDescent="0.3">
      <c r="A555">
        <v>554</v>
      </c>
      <c r="B555">
        <v>0.18179999999999999</v>
      </c>
      <c r="C555">
        <v>0.74</v>
      </c>
      <c r="D555">
        <v>0.1045</v>
      </c>
      <c r="E555">
        <v>1</v>
      </c>
      <c r="F555">
        <v>35</v>
      </c>
      <c r="G555">
        <v>36</v>
      </c>
    </row>
    <row r="556" spans="1:7" x14ac:dyDescent="0.3">
      <c r="A556">
        <v>555</v>
      </c>
      <c r="B556">
        <v>0.1515</v>
      </c>
      <c r="C556">
        <v>0.74</v>
      </c>
      <c r="D556">
        <v>0.22389999999999999</v>
      </c>
      <c r="E556">
        <v>5</v>
      </c>
      <c r="F556">
        <v>103</v>
      </c>
      <c r="G556">
        <v>108</v>
      </c>
    </row>
    <row r="557" spans="1:7" x14ac:dyDescent="0.3">
      <c r="A557">
        <v>556</v>
      </c>
      <c r="B557">
        <v>0.18179999999999999</v>
      </c>
      <c r="C557">
        <v>0.74</v>
      </c>
      <c r="D557">
        <v>0.1343</v>
      </c>
      <c r="E557">
        <v>5</v>
      </c>
      <c r="F557">
        <v>233</v>
      </c>
      <c r="G557">
        <v>238</v>
      </c>
    </row>
    <row r="558" spans="1:7" x14ac:dyDescent="0.3">
      <c r="A558">
        <v>557</v>
      </c>
      <c r="B558">
        <v>0.2273</v>
      </c>
      <c r="C558">
        <v>0.64</v>
      </c>
      <c r="D558">
        <v>8.9599999999999999E-2</v>
      </c>
      <c r="E558">
        <v>10</v>
      </c>
      <c r="F558">
        <v>134</v>
      </c>
      <c r="G558">
        <v>144</v>
      </c>
    </row>
    <row r="559" spans="1:7" x14ac:dyDescent="0.3">
      <c r="A559">
        <v>558</v>
      </c>
      <c r="B559">
        <v>0.2424</v>
      </c>
      <c r="C559">
        <v>0.6</v>
      </c>
      <c r="D559">
        <v>0.1045</v>
      </c>
      <c r="E559">
        <v>6</v>
      </c>
      <c r="F559">
        <v>49</v>
      </c>
      <c r="G559">
        <v>55</v>
      </c>
    </row>
    <row r="560" spans="1:7" x14ac:dyDescent="0.3">
      <c r="A560">
        <v>559</v>
      </c>
      <c r="B560">
        <v>0.2424</v>
      </c>
      <c r="C560">
        <v>0.6</v>
      </c>
      <c r="D560">
        <v>0.1343</v>
      </c>
      <c r="E560">
        <v>6</v>
      </c>
      <c r="F560">
        <v>55</v>
      </c>
      <c r="G560">
        <v>61</v>
      </c>
    </row>
    <row r="561" spans="1:7" x14ac:dyDescent="0.3">
      <c r="A561">
        <v>560</v>
      </c>
      <c r="B561">
        <v>0.28789999999999999</v>
      </c>
      <c r="C561">
        <v>0.56000000000000005</v>
      </c>
      <c r="D561">
        <v>8.9599999999999999E-2</v>
      </c>
      <c r="E561">
        <v>21</v>
      </c>
      <c r="F561">
        <v>85</v>
      </c>
      <c r="G561">
        <v>106</v>
      </c>
    </row>
    <row r="562" spans="1:7" x14ac:dyDescent="0.3">
      <c r="A562">
        <v>561</v>
      </c>
      <c r="B562">
        <v>0.2727</v>
      </c>
      <c r="C562">
        <v>0.56000000000000005</v>
      </c>
      <c r="D562">
        <v>0.1343</v>
      </c>
      <c r="E562">
        <v>21</v>
      </c>
      <c r="F562">
        <v>72</v>
      </c>
      <c r="G562">
        <v>93</v>
      </c>
    </row>
    <row r="563" spans="1:7" x14ac:dyDescent="0.3">
      <c r="A563">
        <v>562</v>
      </c>
      <c r="B563">
        <v>0.33329999999999999</v>
      </c>
      <c r="C563">
        <v>0.45</v>
      </c>
      <c r="D563">
        <v>0</v>
      </c>
      <c r="E563">
        <v>11</v>
      </c>
      <c r="F563">
        <v>57</v>
      </c>
      <c r="G563">
        <v>68</v>
      </c>
    </row>
    <row r="564" spans="1:7" x14ac:dyDescent="0.3">
      <c r="A564">
        <v>563</v>
      </c>
      <c r="B564">
        <v>0.34849999999999998</v>
      </c>
      <c r="C564">
        <v>0.42</v>
      </c>
      <c r="D564">
        <v>0</v>
      </c>
      <c r="E564">
        <v>21</v>
      </c>
      <c r="F564">
        <v>63</v>
      </c>
      <c r="G564">
        <v>84</v>
      </c>
    </row>
    <row r="565" spans="1:7" x14ac:dyDescent="0.3">
      <c r="A565">
        <v>564</v>
      </c>
      <c r="B565">
        <v>0.34849999999999998</v>
      </c>
      <c r="C565">
        <v>0.42</v>
      </c>
      <c r="D565">
        <v>0</v>
      </c>
      <c r="E565">
        <v>14</v>
      </c>
      <c r="F565">
        <v>102</v>
      </c>
      <c r="G565">
        <v>116</v>
      </c>
    </row>
    <row r="566" spans="1:7" x14ac:dyDescent="0.3">
      <c r="A566">
        <v>565</v>
      </c>
      <c r="B566">
        <v>0.33329999999999999</v>
      </c>
      <c r="C566">
        <v>0.45</v>
      </c>
      <c r="D566">
        <v>0</v>
      </c>
      <c r="E566">
        <v>14</v>
      </c>
      <c r="F566">
        <v>208</v>
      </c>
      <c r="G566">
        <v>222</v>
      </c>
    </row>
    <row r="567" spans="1:7" x14ac:dyDescent="0.3">
      <c r="A567">
        <v>566</v>
      </c>
      <c r="B567">
        <v>0.31819999999999998</v>
      </c>
      <c r="C567">
        <v>0.49</v>
      </c>
      <c r="D567">
        <v>8.9599999999999999E-2</v>
      </c>
      <c r="E567">
        <v>7</v>
      </c>
      <c r="F567">
        <v>218</v>
      </c>
      <c r="G567">
        <v>225</v>
      </c>
    </row>
    <row r="568" spans="1:7" x14ac:dyDescent="0.3">
      <c r="A568">
        <v>567</v>
      </c>
      <c r="B568">
        <v>0.2576</v>
      </c>
      <c r="C568">
        <v>0.65</v>
      </c>
      <c r="D568">
        <v>0.16420000000000001</v>
      </c>
      <c r="E568">
        <v>13</v>
      </c>
      <c r="F568">
        <v>133</v>
      </c>
      <c r="G568">
        <v>146</v>
      </c>
    </row>
    <row r="569" spans="1:7" x14ac:dyDescent="0.3">
      <c r="A569">
        <v>568</v>
      </c>
      <c r="B569">
        <v>0.2273</v>
      </c>
      <c r="C569">
        <v>0.65</v>
      </c>
      <c r="D569">
        <v>0.19400000000000001</v>
      </c>
      <c r="E569">
        <v>16</v>
      </c>
      <c r="F569">
        <v>103</v>
      </c>
      <c r="G569">
        <v>119</v>
      </c>
    </row>
    <row r="570" spans="1:7" x14ac:dyDescent="0.3">
      <c r="A570">
        <v>569</v>
      </c>
      <c r="B570">
        <v>0.2273</v>
      </c>
      <c r="C570">
        <v>0.65</v>
      </c>
      <c r="D570">
        <v>0.19400000000000001</v>
      </c>
      <c r="E570">
        <v>5</v>
      </c>
      <c r="F570">
        <v>40</v>
      </c>
      <c r="G570">
        <v>45</v>
      </c>
    </row>
    <row r="571" spans="1:7" x14ac:dyDescent="0.3">
      <c r="A571">
        <v>570</v>
      </c>
      <c r="B571">
        <v>0.2273</v>
      </c>
      <c r="C571">
        <v>0.64</v>
      </c>
      <c r="D571">
        <v>0.16420000000000001</v>
      </c>
      <c r="E571">
        <v>4</v>
      </c>
      <c r="F571">
        <v>49</v>
      </c>
      <c r="G571">
        <v>53</v>
      </c>
    </row>
    <row r="572" spans="1:7" x14ac:dyDescent="0.3">
      <c r="A572">
        <v>571</v>
      </c>
      <c r="B572">
        <v>0.2273</v>
      </c>
      <c r="C572">
        <v>0.64</v>
      </c>
      <c r="D572">
        <v>0.16420000000000001</v>
      </c>
      <c r="E572">
        <v>3</v>
      </c>
      <c r="F572">
        <v>37</v>
      </c>
      <c r="G572">
        <v>40</v>
      </c>
    </row>
    <row r="573" spans="1:7" x14ac:dyDescent="0.3">
      <c r="A573">
        <v>572</v>
      </c>
      <c r="B573">
        <v>0.2273</v>
      </c>
      <c r="C573">
        <v>0.69</v>
      </c>
      <c r="D573">
        <v>0.1343</v>
      </c>
      <c r="E573">
        <v>3</v>
      </c>
      <c r="F573">
        <v>14</v>
      </c>
      <c r="G573">
        <v>17</v>
      </c>
    </row>
    <row r="574" spans="1:7" x14ac:dyDescent="0.3">
      <c r="A574">
        <v>573</v>
      </c>
      <c r="B574">
        <v>0.2424</v>
      </c>
      <c r="C574">
        <v>0.65</v>
      </c>
      <c r="D574">
        <v>0.1343</v>
      </c>
      <c r="E574">
        <v>0</v>
      </c>
      <c r="F574">
        <v>5</v>
      </c>
      <c r="G574">
        <v>5</v>
      </c>
    </row>
    <row r="575" spans="1:7" x14ac:dyDescent="0.3">
      <c r="A575">
        <v>574</v>
      </c>
      <c r="B575">
        <v>0.2273</v>
      </c>
      <c r="C575">
        <v>0.69</v>
      </c>
      <c r="D575">
        <v>0.19400000000000001</v>
      </c>
      <c r="E575">
        <v>3</v>
      </c>
      <c r="F575">
        <v>7</v>
      </c>
      <c r="G575">
        <v>10</v>
      </c>
    </row>
    <row r="576" spans="1:7" x14ac:dyDescent="0.3">
      <c r="A576">
        <v>575</v>
      </c>
      <c r="B576">
        <v>0.18179999999999999</v>
      </c>
      <c r="C576">
        <v>0.86</v>
      </c>
      <c r="D576">
        <v>0.28360000000000002</v>
      </c>
      <c r="E576">
        <v>0</v>
      </c>
      <c r="F576">
        <v>1</v>
      </c>
      <c r="G576">
        <v>1</v>
      </c>
    </row>
    <row r="577" spans="1:7" x14ac:dyDescent="0.3">
      <c r="A577">
        <v>576</v>
      </c>
      <c r="B577">
        <v>0.18179999999999999</v>
      </c>
      <c r="C577">
        <v>0.86</v>
      </c>
      <c r="D577">
        <v>0.28360000000000002</v>
      </c>
      <c r="E577">
        <v>0</v>
      </c>
      <c r="F577">
        <v>8</v>
      </c>
      <c r="G577">
        <v>8</v>
      </c>
    </row>
    <row r="578" spans="1:7" x14ac:dyDescent="0.3">
      <c r="A578">
        <v>577</v>
      </c>
      <c r="B578">
        <v>0.21210000000000001</v>
      </c>
      <c r="C578">
        <v>0.87</v>
      </c>
      <c r="D578">
        <v>0.29849999999999999</v>
      </c>
      <c r="E578">
        <v>1</v>
      </c>
      <c r="F578">
        <v>29</v>
      </c>
      <c r="G578">
        <v>30</v>
      </c>
    </row>
    <row r="579" spans="1:7" x14ac:dyDescent="0.3">
      <c r="A579">
        <v>578</v>
      </c>
      <c r="B579">
        <v>0.21210000000000001</v>
      </c>
      <c r="C579">
        <v>0.87</v>
      </c>
      <c r="D579">
        <v>0.29849999999999999</v>
      </c>
      <c r="E579">
        <v>3</v>
      </c>
      <c r="F579">
        <v>69</v>
      </c>
      <c r="G579">
        <v>72</v>
      </c>
    </row>
    <row r="580" spans="1:7" x14ac:dyDescent="0.3">
      <c r="A580">
        <v>579</v>
      </c>
      <c r="B580">
        <v>0.21210000000000001</v>
      </c>
      <c r="C580">
        <v>0.87</v>
      </c>
      <c r="D580">
        <v>0.29849999999999999</v>
      </c>
      <c r="E580">
        <v>3</v>
      </c>
      <c r="F580">
        <v>55</v>
      </c>
      <c r="G580">
        <v>58</v>
      </c>
    </row>
    <row r="581" spans="1:7" x14ac:dyDescent="0.3">
      <c r="A581">
        <v>580</v>
      </c>
      <c r="B581">
        <v>0.21210000000000001</v>
      </c>
      <c r="C581">
        <v>0.93</v>
      </c>
      <c r="D581">
        <v>0.28360000000000002</v>
      </c>
      <c r="E581">
        <v>2</v>
      </c>
      <c r="F581">
        <v>26</v>
      </c>
      <c r="G581">
        <v>28</v>
      </c>
    </row>
    <row r="582" spans="1:7" x14ac:dyDescent="0.3">
      <c r="A582">
        <v>581</v>
      </c>
      <c r="B582">
        <v>0.19700000000000001</v>
      </c>
      <c r="C582">
        <v>0.93</v>
      </c>
      <c r="D582">
        <v>0.32840000000000003</v>
      </c>
      <c r="E582">
        <v>6</v>
      </c>
      <c r="F582">
        <v>35</v>
      </c>
      <c r="G582">
        <v>41</v>
      </c>
    </row>
    <row r="583" spans="1:7" x14ac:dyDescent="0.3">
      <c r="A583">
        <v>582</v>
      </c>
      <c r="B583">
        <v>0.19700000000000001</v>
      </c>
      <c r="C583">
        <v>0.93</v>
      </c>
      <c r="D583">
        <v>0.32840000000000003</v>
      </c>
      <c r="E583">
        <v>7</v>
      </c>
      <c r="F583">
        <v>41</v>
      </c>
      <c r="G583">
        <v>48</v>
      </c>
    </row>
    <row r="584" spans="1:7" x14ac:dyDescent="0.3">
      <c r="A584">
        <v>583</v>
      </c>
      <c r="B584">
        <v>0.19700000000000001</v>
      </c>
      <c r="C584">
        <v>0.93</v>
      </c>
      <c r="D584">
        <v>0.32840000000000003</v>
      </c>
      <c r="E584">
        <v>4</v>
      </c>
      <c r="F584">
        <v>43</v>
      </c>
      <c r="G584">
        <v>47</v>
      </c>
    </row>
    <row r="585" spans="1:7" x14ac:dyDescent="0.3">
      <c r="A585">
        <v>584</v>
      </c>
      <c r="B585">
        <v>0.19700000000000001</v>
      </c>
      <c r="C585">
        <v>0.93</v>
      </c>
      <c r="D585">
        <v>0.35820000000000002</v>
      </c>
      <c r="E585">
        <v>0</v>
      </c>
      <c r="F585">
        <v>36</v>
      </c>
      <c r="G585">
        <v>36</v>
      </c>
    </row>
    <row r="586" spans="1:7" x14ac:dyDescent="0.3">
      <c r="A586">
        <v>585</v>
      </c>
      <c r="B586">
        <v>0.18179999999999999</v>
      </c>
      <c r="C586">
        <v>0.93</v>
      </c>
      <c r="D586">
        <v>0.4627</v>
      </c>
      <c r="E586">
        <v>1</v>
      </c>
      <c r="F586">
        <v>42</v>
      </c>
      <c r="G586">
        <v>43</v>
      </c>
    </row>
    <row r="587" spans="1:7" x14ac:dyDescent="0.3">
      <c r="A587">
        <v>586</v>
      </c>
      <c r="B587">
        <v>0.19700000000000001</v>
      </c>
      <c r="C587">
        <v>0.93</v>
      </c>
      <c r="D587">
        <v>0.32840000000000003</v>
      </c>
      <c r="E587">
        <v>1</v>
      </c>
      <c r="F587">
        <v>35</v>
      </c>
      <c r="G587">
        <v>36</v>
      </c>
    </row>
    <row r="588" spans="1:7" x14ac:dyDescent="0.3">
      <c r="A588">
        <v>587</v>
      </c>
      <c r="B588">
        <v>0.18179999999999999</v>
      </c>
      <c r="C588">
        <v>0.93</v>
      </c>
      <c r="D588">
        <v>0.35820000000000002</v>
      </c>
      <c r="E588">
        <v>0</v>
      </c>
      <c r="F588">
        <v>26</v>
      </c>
      <c r="G588">
        <v>26</v>
      </c>
    </row>
    <row r="589" spans="1:7" x14ac:dyDescent="0.3">
      <c r="A589">
        <v>588</v>
      </c>
      <c r="B589">
        <v>0.2273</v>
      </c>
      <c r="C589">
        <v>0.55000000000000004</v>
      </c>
      <c r="D589">
        <v>0.19400000000000001</v>
      </c>
      <c r="E589">
        <v>1</v>
      </c>
      <c r="F589">
        <v>23</v>
      </c>
      <c r="G589">
        <v>24</v>
      </c>
    </row>
    <row r="590" spans="1:7" x14ac:dyDescent="0.3">
      <c r="A590">
        <v>589</v>
      </c>
      <c r="B590">
        <v>0.2424</v>
      </c>
      <c r="C590">
        <v>0.55000000000000004</v>
      </c>
      <c r="D590">
        <v>0.1045</v>
      </c>
      <c r="E590">
        <v>2</v>
      </c>
      <c r="F590">
        <v>82</v>
      </c>
      <c r="G590">
        <v>84</v>
      </c>
    </row>
    <row r="591" spans="1:7" x14ac:dyDescent="0.3">
      <c r="A591">
        <v>590</v>
      </c>
      <c r="B591">
        <v>0.2273</v>
      </c>
      <c r="C591">
        <v>0.69</v>
      </c>
      <c r="D591">
        <v>8.9599999999999999E-2</v>
      </c>
      <c r="E591">
        <v>3</v>
      </c>
      <c r="F591">
        <v>101</v>
      </c>
      <c r="G591">
        <v>104</v>
      </c>
    </row>
    <row r="592" spans="1:7" x14ac:dyDescent="0.3">
      <c r="A592">
        <v>591</v>
      </c>
      <c r="B592">
        <v>0.2273</v>
      </c>
      <c r="C592">
        <v>0.69</v>
      </c>
      <c r="D592">
        <v>8.9599999999999999E-2</v>
      </c>
      <c r="E592">
        <v>3</v>
      </c>
      <c r="F592">
        <v>76</v>
      </c>
      <c r="G592">
        <v>79</v>
      </c>
    </row>
    <row r="593" spans="1:7" x14ac:dyDescent="0.3">
      <c r="A593">
        <v>592</v>
      </c>
      <c r="B593">
        <v>0.21210000000000001</v>
      </c>
      <c r="C593">
        <v>0.74</v>
      </c>
      <c r="D593">
        <v>8.9599999999999999E-2</v>
      </c>
      <c r="E593">
        <v>4</v>
      </c>
      <c r="F593">
        <v>55</v>
      </c>
      <c r="G593">
        <v>59</v>
      </c>
    </row>
    <row r="594" spans="1:7" x14ac:dyDescent="0.3">
      <c r="A594">
        <v>593</v>
      </c>
      <c r="B594">
        <v>0.21210000000000001</v>
      </c>
      <c r="C594">
        <v>0.74</v>
      </c>
      <c r="D594">
        <v>8.9599999999999999E-2</v>
      </c>
      <c r="E594">
        <v>2</v>
      </c>
      <c r="F594">
        <v>36</v>
      </c>
      <c r="G594">
        <v>38</v>
      </c>
    </row>
    <row r="595" spans="1:7" x14ac:dyDescent="0.3">
      <c r="A595">
        <v>594</v>
      </c>
      <c r="B595">
        <v>0.21210000000000001</v>
      </c>
      <c r="C595">
        <v>0.74</v>
      </c>
      <c r="D595">
        <v>8.9599999999999999E-2</v>
      </c>
      <c r="E595">
        <v>0</v>
      </c>
      <c r="F595">
        <v>27</v>
      </c>
      <c r="G595">
        <v>27</v>
      </c>
    </row>
    <row r="596" spans="1:7" x14ac:dyDescent="0.3">
      <c r="A596">
        <v>595</v>
      </c>
      <c r="B596">
        <v>0.19700000000000001</v>
      </c>
      <c r="C596">
        <v>0.8</v>
      </c>
      <c r="D596">
        <v>0.16420000000000001</v>
      </c>
      <c r="E596">
        <v>0</v>
      </c>
      <c r="F596">
        <v>16</v>
      </c>
      <c r="G596">
        <v>16</v>
      </c>
    </row>
    <row r="597" spans="1:7" x14ac:dyDescent="0.3">
      <c r="A597">
        <v>596</v>
      </c>
      <c r="B597">
        <v>0.21210000000000001</v>
      </c>
      <c r="C597">
        <v>0.75</v>
      </c>
      <c r="D597">
        <v>0.1343</v>
      </c>
      <c r="E597">
        <v>0</v>
      </c>
      <c r="F597">
        <v>9</v>
      </c>
      <c r="G597">
        <v>9</v>
      </c>
    </row>
    <row r="598" spans="1:7" x14ac:dyDescent="0.3">
      <c r="A598">
        <v>597</v>
      </c>
      <c r="B598">
        <v>0.21210000000000001</v>
      </c>
      <c r="C598">
        <v>0.75</v>
      </c>
      <c r="D598">
        <v>0.1343</v>
      </c>
      <c r="E598">
        <v>1</v>
      </c>
      <c r="F598">
        <v>2</v>
      </c>
      <c r="G598">
        <v>3</v>
      </c>
    </row>
    <row r="599" spans="1:7" x14ac:dyDescent="0.3">
      <c r="A599">
        <v>598</v>
      </c>
      <c r="B599">
        <v>0.21210000000000001</v>
      </c>
      <c r="C599">
        <v>0.75</v>
      </c>
      <c r="D599">
        <v>0.16420000000000001</v>
      </c>
      <c r="E599">
        <v>0</v>
      </c>
      <c r="F599">
        <v>2</v>
      </c>
      <c r="G599">
        <v>2</v>
      </c>
    </row>
    <row r="600" spans="1:7" x14ac:dyDescent="0.3">
      <c r="A600">
        <v>599</v>
      </c>
      <c r="B600">
        <v>0.2273</v>
      </c>
      <c r="C600">
        <v>0.75</v>
      </c>
      <c r="D600">
        <v>0.1045</v>
      </c>
      <c r="E600">
        <v>1</v>
      </c>
      <c r="F600">
        <v>0</v>
      </c>
      <c r="G600">
        <v>1</v>
      </c>
    </row>
    <row r="601" spans="1:7" x14ac:dyDescent="0.3">
      <c r="A601">
        <v>600</v>
      </c>
      <c r="B601">
        <v>0.21210000000000001</v>
      </c>
      <c r="C601">
        <v>0.8</v>
      </c>
      <c r="D601">
        <v>0.1045</v>
      </c>
      <c r="E601">
        <v>0</v>
      </c>
      <c r="F601">
        <v>4</v>
      </c>
      <c r="G601">
        <v>4</v>
      </c>
    </row>
    <row r="602" spans="1:7" x14ac:dyDescent="0.3">
      <c r="A602">
        <v>601</v>
      </c>
      <c r="B602">
        <v>0.19700000000000001</v>
      </c>
      <c r="C602">
        <v>0.8</v>
      </c>
      <c r="D602">
        <v>0.1343</v>
      </c>
      <c r="E602">
        <v>0</v>
      </c>
      <c r="F602">
        <v>16</v>
      </c>
      <c r="G602">
        <v>16</v>
      </c>
    </row>
    <row r="603" spans="1:7" x14ac:dyDescent="0.3">
      <c r="A603">
        <v>602</v>
      </c>
      <c r="B603">
        <v>0.19700000000000001</v>
      </c>
      <c r="C603">
        <v>0.86</v>
      </c>
      <c r="D603">
        <v>8.9599999999999999E-2</v>
      </c>
      <c r="E603">
        <v>2</v>
      </c>
      <c r="F603">
        <v>58</v>
      </c>
      <c r="G603">
        <v>60</v>
      </c>
    </row>
    <row r="604" spans="1:7" x14ac:dyDescent="0.3">
      <c r="A604">
        <v>603</v>
      </c>
      <c r="B604">
        <v>0.19700000000000001</v>
      </c>
      <c r="C604">
        <v>0.86</v>
      </c>
      <c r="D604">
        <v>8.9599999999999999E-2</v>
      </c>
      <c r="E604">
        <v>2</v>
      </c>
      <c r="F604">
        <v>155</v>
      </c>
      <c r="G604">
        <v>157</v>
      </c>
    </row>
    <row r="605" spans="1:7" x14ac:dyDescent="0.3">
      <c r="A605">
        <v>604</v>
      </c>
      <c r="B605">
        <v>0.21210000000000001</v>
      </c>
      <c r="C605">
        <v>0.86</v>
      </c>
      <c r="D605">
        <v>8.9599999999999999E-2</v>
      </c>
      <c r="E605">
        <v>6</v>
      </c>
      <c r="F605">
        <v>95</v>
      </c>
      <c r="G605">
        <v>101</v>
      </c>
    </row>
    <row r="606" spans="1:7" x14ac:dyDescent="0.3">
      <c r="A606">
        <v>605</v>
      </c>
      <c r="B606">
        <v>0.21210000000000001</v>
      </c>
      <c r="C606">
        <v>0.86</v>
      </c>
      <c r="D606">
        <v>0.1045</v>
      </c>
      <c r="E606">
        <v>0</v>
      </c>
      <c r="F606">
        <v>49</v>
      </c>
      <c r="G606">
        <v>49</v>
      </c>
    </row>
    <row r="607" spans="1:7" x14ac:dyDescent="0.3">
      <c r="A607">
        <v>606</v>
      </c>
      <c r="B607">
        <v>0.21210000000000001</v>
      </c>
      <c r="C607">
        <v>0.93</v>
      </c>
      <c r="D607">
        <v>0.1045</v>
      </c>
      <c r="E607">
        <v>0</v>
      </c>
      <c r="F607">
        <v>30</v>
      </c>
      <c r="G607">
        <v>30</v>
      </c>
    </row>
    <row r="608" spans="1:7" x14ac:dyDescent="0.3">
      <c r="A608">
        <v>607</v>
      </c>
      <c r="B608">
        <v>0.21210000000000001</v>
      </c>
      <c r="C608">
        <v>0.93</v>
      </c>
      <c r="D608">
        <v>0.1045</v>
      </c>
      <c r="E608">
        <v>1</v>
      </c>
      <c r="F608">
        <v>28</v>
      </c>
      <c r="G608">
        <v>29</v>
      </c>
    </row>
    <row r="609" spans="1:7" x14ac:dyDescent="0.3">
      <c r="A609">
        <v>608</v>
      </c>
      <c r="B609">
        <v>0.21210000000000001</v>
      </c>
      <c r="C609">
        <v>0.93</v>
      </c>
      <c r="D609">
        <v>0.1045</v>
      </c>
      <c r="E609">
        <v>0</v>
      </c>
      <c r="F609">
        <v>31</v>
      </c>
      <c r="G609">
        <v>31</v>
      </c>
    </row>
    <row r="610" spans="1:7" x14ac:dyDescent="0.3">
      <c r="A610">
        <v>609</v>
      </c>
      <c r="B610">
        <v>0.2727</v>
      </c>
      <c r="C610">
        <v>0.8</v>
      </c>
      <c r="D610">
        <v>0</v>
      </c>
      <c r="E610">
        <v>2</v>
      </c>
      <c r="F610">
        <v>36</v>
      </c>
      <c r="G610">
        <v>38</v>
      </c>
    </row>
    <row r="611" spans="1:7" x14ac:dyDescent="0.3">
      <c r="A611">
        <v>610</v>
      </c>
      <c r="B611">
        <v>0.2576</v>
      </c>
      <c r="C611">
        <v>0.86</v>
      </c>
      <c r="D611">
        <v>0</v>
      </c>
      <c r="E611">
        <v>1</v>
      </c>
      <c r="F611">
        <v>40</v>
      </c>
      <c r="G611">
        <v>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93"/>
  <sheetViews>
    <sheetView tabSelected="1" workbookViewId="0">
      <pane ySplit="1" topLeftCell="A367" activePane="bottomLeft" state="frozen"/>
      <selection pane="bottomLeft" activeCell="M393" sqref="M393"/>
    </sheetView>
  </sheetViews>
  <sheetFormatPr defaultRowHeight="14.4" x14ac:dyDescent="0.3"/>
  <cols>
    <col min="1" max="1" width="9.77734375" customWidth="1"/>
    <col min="2" max="2" width="10.33203125" style="1" customWidth="1"/>
    <col min="3" max="3" width="9.5546875" customWidth="1"/>
    <col min="4" max="4" width="7.21875" customWidth="1"/>
    <col min="6" max="6" width="7.44140625" customWidth="1"/>
    <col min="7" max="7" width="9.88671875" customWidth="1"/>
    <col min="8" max="8" width="11.5546875" customWidth="1"/>
    <col min="9" max="9" width="19.109375" customWidth="1"/>
    <col min="10" max="10" width="14.6640625" customWidth="1"/>
    <col min="11" max="11" width="12.33203125" style="8" customWidth="1"/>
    <col min="12" max="12" width="11.44140625" customWidth="1"/>
    <col min="13" max="13" width="13.21875" customWidth="1"/>
    <col min="14" max="14" width="8.88671875" style="4"/>
    <col min="15" max="15" width="12.21875" style="4" customWidth="1"/>
    <col min="16" max="16" width="8.88671875" style="4"/>
    <col min="17" max="17" width="15.88671875" customWidth="1"/>
    <col min="18" max="18" width="17.77734375" customWidth="1"/>
    <col min="19" max="19" width="15.6640625" style="10" customWidth="1"/>
  </cols>
  <sheetData>
    <row r="1" spans="1:19" s="2" customFormat="1" ht="15.6" x14ac:dyDescent="0.3">
      <c r="A1" s="2" t="s">
        <v>8</v>
      </c>
      <c r="B1" s="5" t="s">
        <v>0</v>
      </c>
      <c r="C1" s="2" t="s">
        <v>1</v>
      </c>
      <c r="D1" s="2" t="s">
        <v>14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7" t="s">
        <v>15</v>
      </c>
      <c r="L1" s="2" t="s">
        <v>9</v>
      </c>
      <c r="M1" s="2" t="s">
        <v>10</v>
      </c>
      <c r="N1" s="3" t="s">
        <v>11</v>
      </c>
      <c r="O1" s="3" t="s">
        <v>12</v>
      </c>
      <c r="P1" s="3" t="s">
        <v>13</v>
      </c>
      <c r="Q1" s="2" t="s">
        <v>16</v>
      </c>
      <c r="R1" s="2" t="s">
        <v>17</v>
      </c>
      <c r="S1" s="11" t="s">
        <v>18</v>
      </c>
    </row>
    <row r="2" spans="1:19" x14ac:dyDescent="0.3">
      <c r="A2">
        <v>611</v>
      </c>
      <c r="B2" s="1">
        <v>40571</v>
      </c>
      <c r="C2">
        <v>1</v>
      </c>
      <c r="D2">
        <v>0</v>
      </c>
      <c r="E2">
        <v>1</v>
      </c>
      <c r="F2">
        <v>16</v>
      </c>
      <c r="G2" t="b">
        <v>0</v>
      </c>
      <c r="H2">
        <v>5</v>
      </c>
      <c r="I2">
        <v>1</v>
      </c>
      <c r="J2">
        <v>0.22</v>
      </c>
      <c r="K2" s="6">
        <v>0.2727</v>
      </c>
      <c r="L2">
        <v>0.8</v>
      </c>
      <c r="M2">
        <v>0</v>
      </c>
      <c r="N2" s="4">
        <v>10</v>
      </c>
      <c r="O2" s="4">
        <v>70</v>
      </c>
      <c r="P2" s="4">
        <v>80</v>
      </c>
      <c r="Q2" s="9" t="str">
        <f>CHOOSE(FinalData[[#This Row],[Season]],"Spring","Summer","Fall","Winter")</f>
        <v>Spring</v>
      </c>
      <c r="R2" s="9" t="str">
        <f>CHOOSE(FinalData[[#This Row],[Weathersituation]],"Clear","Mist","Light Rain","Heavy Rain")</f>
        <v>Clear</v>
      </c>
      <c r="S2" s="9" t="s">
        <v>19</v>
      </c>
    </row>
    <row r="3" spans="1:19" x14ac:dyDescent="0.3">
      <c r="A3">
        <v>612</v>
      </c>
      <c r="B3" s="1">
        <v>40571</v>
      </c>
      <c r="C3">
        <v>1</v>
      </c>
      <c r="D3">
        <v>0</v>
      </c>
      <c r="E3">
        <v>1</v>
      </c>
      <c r="F3">
        <v>17</v>
      </c>
      <c r="G3" t="b">
        <v>0</v>
      </c>
      <c r="H3">
        <v>5</v>
      </c>
      <c r="I3">
        <v>1</v>
      </c>
      <c r="J3">
        <v>0.24</v>
      </c>
      <c r="K3" s="6">
        <v>0.2424</v>
      </c>
      <c r="L3">
        <v>0.75</v>
      </c>
      <c r="M3">
        <v>0.1343</v>
      </c>
      <c r="N3" s="4">
        <v>2</v>
      </c>
      <c r="O3" s="4">
        <v>147</v>
      </c>
      <c r="P3" s="4">
        <v>149</v>
      </c>
      <c r="Q3" s="9" t="str">
        <f>CHOOSE(FinalData[[#This Row],[Season]],"Spring","Summer","Fall","Winter")</f>
        <v>Spring</v>
      </c>
      <c r="R3" s="9" t="str">
        <f>CHOOSE(FinalData[[#This Row],[Weathersituation]],"Clear","Mist","Light Rain","Heavy Rain")</f>
        <v>Clear</v>
      </c>
      <c r="S3" s="9" t="s">
        <v>19</v>
      </c>
    </row>
    <row r="4" spans="1:19" x14ac:dyDescent="0.3">
      <c r="A4">
        <v>613</v>
      </c>
      <c r="B4" s="1">
        <v>40571</v>
      </c>
      <c r="C4">
        <v>1</v>
      </c>
      <c r="D4">
        <v>0</v>
      </c>
      <c r="E4">
        <v>1</v>
      </c>
      <c r="F4">
        <v>18</v>
      </c>
      <c r="G4" t="b">
        <v>0</v>
      </c>
      <c r="H4">
        <v>5</v>
      </c>
      <c r="I4">
        <v>1</v>
      </c>
      <c r="J4">
        <v>0.24</v>
      </c>
      <c r="K4" s="6">
        <v>0.2273</v>
      </c>
      <c r="L4">
        <v>0.75</v>
      </c>
      <c r="M4">
        <v>0.19400000000000001</v>
      </c>
      <c r="N4" s="4">
        <v>2</v>
      </c>
      <c r="O4" s="4">
        <v>107</v>
      </c>
      <c r="P4" s="4">
        <v>109</v>
      </c>
      <c r="Q4" s="9" t="str">
        <f>CHOOSE(FinalData[[#This Row],[Season]],"Spring","Summer","Fall","Winter")</f>
        <v>Spring</v>
      </c>
      <c r="R4" s="9" t="str">
        <f>CHOOSE(FinalData[[#This Row],[Weathersituation]],"Clear","Mist","Light Rain","Heavy Rain")</f>
        <v>Clear</v>
      </c>
      <c r="S4" s="9" t="str">
        <f>TEXT(FinalData[[#This Row],[Date]],"mmm")</f>
        <v>Jan</v>
      </c>
    </row>
    <row r="5" spans="1:19" x14ac:dyDescent="0.3">
      <c r="A5">
        <v>614</v>
      </c>
      <c r="B5" s="1">
        <v>40571</v>
      </c>
      <c r="C5">
        <v>1</v>
      </c>
      <c r="D5">
        <v>0</v>
      </c>
      <c r="E5">
        <v>1</v>
      </c>
      <c r="F5">
        <v>19</v>
      </c>
      <c r="G5" t="b">
        <v>0</v>
      </c>
      <c r="H5">
        <v>5</v>
      </c>
      <c r="I5">
        <v>2</v>
      </c>
      <c r="J5">
        <v>0.24</v>
      </c>
      <c r="K5" s="6">
        <v>0.2424</v>
      </c>
      <c r="L5">
        <v>0.75</v>
      </c>
      <c r="M5">
        <v>0.1343</v>
      </c>
      <c r="N5" s="4">
        <v>5</v>
      </c>
      <c r="O5" s="4">
        <v>84</v>
      </c>
      <c r="P5" s="4">
        <v>89</v>
      </c>
      <c r="Q5" s="9" t="str">
        <f>CHOOSE(FinalData[[#This Row],[Season]],"Spring","Summer","Fall","Winter")</f>
        <v>Spring</v>
      </c>
      <c r="R5" s="9" t="str">
        <f>CHOOSE(FinalData[[#This Row],[Weathersituation]],"Clear","Mist","Light Rain","Heavy Rain")</f>
        <v>Mist</v>
      </c>
      <c r="S5" s="9" t="str">
        <f>TEXT(FinalData[[#This Row],[Date]],"mmm")</f>
        <v>Jan</v>
      </c>
    </row>
    <row r="6" spans="1:19" x14ac:dyDescent="0.3">
      <c r="A6">
        <v>615</v>
      </c>
      <c r="B6" s="1">
        <v>40571</v>
      </c>
      <c r="C6">
        <v>1</v>
      </c>
      <c r="D6">
        <v>0</v>
      </c>
      <c r="E6">
        <v>1</v>
      </c>
      <c r="F6">
        <v>20</v>
      </c>
      <c r="G6" t="b">
        <v>0</v>
      </c>
      <c r="H6">
        <v>5</v>
      </c>
      <c r="I6">
        <v>2</v>
      </c>
      <c r="J6">
        <v>0.24</v>
      </c>
      <c r="K6" s="6">
        <v>0.2273</v>
      </c>
      <c r="L6">
        <v>0.7</v>
      </c>
      <c r="M6">
        <v>0.19400000000000001</v>
      </c>
      <c r="N6" s="4">
        <v>1</v>
      </c>
      <c r="O6" s="4">
        <v>61</v>
      </c>
      <c r="P6" s="4">
        <v>62</v>
      </c>
      <c r="Q6" s="9" t="str">
        <f>CHOOSE(FinalData[[#This Row],[Season]],"Spring","Summer","Fall","Winter")</f>
        <v>Spring</v>
      </c>
      <c r="R6" s="9" t="str">
        <f>CHOOSE(FinalData[[#This Row],[Weathersituation]],"Clear","Mist","Light Rain","Heavy Rain")</f>
        <v>Mist</v>
      </c>
      <c r="S6" s="9" t="str">
        <f>TEXT(FinalData[[#This Row],[Date]],"mmm")</f>
        <v>Jan</v>
      </c>
    </row>
    <row r="7" spans="1:19" x14ac:dyDescent="0.3">
      <c r="A7">
        <v>616</v>
      </c>
      <c r="B7" s="1">
        <v>40571</v>
      </c>
      <c r="C7">
        <v>1</v>
      </c>
      <c r="D7">
        <v>0</v>
      </c>
      <c r="E7">
        <v>1</v>
      </c>
      <c r="F7">
        <v>21</v>
      </c>
      <c r="G7" t="b">
        <v>0</v>
      </c>
      <c r="H7">
        <v>5</v>
      </c>
      <c r="I7">
        <v>2</v>
      </c>
      <c r="J7">
        <v>0.22</v>
      </c>
      <c r="K7" s="6">
        <v>0.2273</v>
      </c>
      <c r="L7">
        <v>0.75</v>
      </c>
      <c r="M7">
        <v>0.1343</v>
      </c>
      <c r="N7" s="4">
        <v>1</v>
      </c>
      <c r="O7" s="4">
        <v>57</v>
      </c>
      <c r="P7" s="4">
        <v>58</v>
      </c>
      <c r="Q7" s="9" t="str">
        <f>CHOOSE(FinalData[[#This Row],[Season]],"Spring","Summer","Fall","Winter")</f>
        <v>Spring</v>
      </c>
      <c r="R7" s="9" t="str">
        <f>CHOOSE(FinalData[[#This Row],[Weathersituation]],"Clear","Mist","Light Rain","Heavy Rain")</f>
        <v>Mist</v>
      </c>
      <c r="S7" s="9" t="str">
        <f>TEXT(FinalData[[#This Row],[Date]],"mmm")</f>
        <v>Jan</v>
      </c>
    </row>
    <row r="8" spans="1:19" x14ac:dyDescent="0.3">
      <c r="A8">
        <v>617</v>
      </c>
      <c r="B8" s="1">
        <v>40571</v>
      </c>
      <c r="C8">
        <v>1</v>
      </c>
      <c r="D8">
        <v>0</v>
      </c>
      <c r="E8">
        <v>1</v>
      </c>
      <c r="F8">
        <v>22</v>
      </c>
      <c r="G8" t="b">
        <v>0</v>
      </c>
      <c r="H8">
        <v>5</v>
      </c>
      <c r="I8">
        <v>1</v>
      </c>
      <c r="J8">
        <v>0.24</v>
      </c>
      <c r="K8" s="6">
        <v>0.21210000000000001</v>
      </c>
      <c r="L8">
        <v>0.65</v>
      </c>
      <c r="M8">
        <v>0.35820000000000002</v>
      </c>
      <c r="N8" s="4">
        <v>0</v>
      </c>
      <c r="O8" s="4">
        <v>26</v>
      </c>
      <c r="P8" s="4">
        <v>26</v>
      </c>
      <c r="Q8" s="9" t="str">
        <f>CHOOSE(FinalData[[#This Row],[Season]],"Spring","Summer","Fall","Winter")</f>
        <v>Spring</v>
      </c>
      <c r="R8" s="9" t="str">
        <f>CHOOSE(FinalData[[#This Row],[Weathersituation]],"Clear","Mist","Light Rain","Heavy Rain")</f>
        <v>Clear</v>
      </c>
      <c r="S8" s="9" t="str">
        <f>TEXT(FinalData[[#This Row],[Date]],"mmm")</f>
        <v>Jan</v>
      </c>
    </row>
    <row r="9" spans="1:19" x14ac:dyDescent="0.3">
      <c r="A9">
        <v>618</v>
      </c>
      <c r="B9" s="1">
        <v>40571</v>
      </c>
      <c r="C9">
        <v>1</v>
      </c>
      <c r="D9">
        <v>0</v>
      </c>
      <c r="E9">
        <v>1</v>
      </c>
      <c r="F9">
        <v>23</v>
      </c>
      <c r="G9" t="b">
        <v>0</v>
      </c>
      <c r="H9">
        <v>5</v>
      </c>
      <c r="I9">
        <v>1</v>
      </c>
      <c r="J9">
        <v>0.24</v>
      </c>
      <c r="K9" s="6">
        <v>0.2273</v>
      </c>
      <c r="L9">
        <v>0.6</v>
      </c>
      <c r="M9">
        <v>0.22389999999999999</v>
      </c>
      <c r="N9" s="4">
        <v>1</v>
      </c>
      <c r="O9" s="4">
        <v>22</v>
      </c>
      <c r="P9" s="4">
        <v>23</v>
      </c>
      <c r="Q9" s="9" t="str">
        <f>CHOOSE(FinalData[[#This Row],[Season]],"Spring","Summer","Fall","Winter")</f>
        <v>Spring</v>
      </c>
      <c r="R9" s="9" t="str">
        <f>CHOOSE(FinalData[[#This Row],[Weathersituation]],"Clear","Mist","Light Rain","Heavy Rain")</f>
        <v>Clear</v>
      </c>
      <c r="S9" s="9" t="str">
        <f>TEXT(FinalData[[#This Row],[Date]],"mmm")</f>
        <v>Jan</v>
      </c>
    </row>
    <row r="10" spans="1:19" x14ac:dyDescent="0.3">
      <c r="A10">
        <v>619</v>
      </c>
      <c r="B10" s="1">
        <v>40572</v>
      </c>
      <c r="C10">
        <v>1</v>
      </c>
      <c r="D10">
        <v>0</v>
      </c>
      <c r="E10">
        <v>1</v>
      </c>
      <c r="F10">
        <v>0</v>
      </c>
      <c r="G10" t="b">
        <v>0</v>
      </c>
      <c r="H10">
        <v>6</v>
      </c>
      <c r="I10">
        <v>1</v>
      </c>
      <c r="J10">
        <v>0.22</v>
      </c>
      <c r="K10" s="6">
        <v>0.19700000000000001</v>
      </c>
      <c r="L10">
        <v>0.64</v>
      </c>
      <c r="M10">
        <v>0.35820000000000002</v>
      </c>
      <c r="N10" s="4">
        <v>2</v>
      </c>
      <c r="O10" s="4">
        <v>26</v>
      </c>
      <c r="P10" s="4">
        <v>28</v>
      </c>
      <c r="Q10" s="9" t="str">
        <f>CHOOSE(FinalData[[#This Row],[Season]],"Spring","Summer","Fall","Winter")</f>
        <v>Spring</v>
      </c>
      <c r="R10" s="9" t="str">
        <f>CHOOSE(FinalData[[#This Row],[Weathersituation]],"Clear","Mist","Light Rain","Heavy Rain")</f>
        <v>Clear</v>
      </c>
      <c r="S10" s="9" t="str">
        <f>TEXT(FinalData[[#This Row],[Date]],"mmm")</f>
        <v>Jan</v>
      </c>
    </row>
    <row r="11" spans="1:19" x14ac:dyDescent="0.3">
      <c r="A11">
        <v>620</v>
      </c>
      <c r="B11" s="1">
        <v>40572</v>
      </c>
      <c r="C11">
        <v>1</v>
      </c>
      <c r="D11">
        <v>0</v>
      </c>
      <c r="E11">
        <v>1</v>
      </c>
      <c r="F11">
        <v>1</v>
      </c>
      <c r="G11" t="b">
        <v>0</v>
      </c>
      <c r="H11">
        <v>6</v>
      </c>
      <c r="I11">
        <v>1</v>
      </c>
      <c r="J11">
        <v>0.22</v>
      </c>
      <c r="K11" s="6">
        <v>0.2273</v>
      </c>
      <c r="L11">
        <v>0.64</v>
      </c>
      <c r="M11">
        <v>0.19400000000000001</v>
      </c>
      <c r="N11" s="4">
        <v>0</v>
      </c>
      <c r="O11" s="4">
        <v>20</v>
      </c>
      <c r="P11" s="4">
        <v>20</v>
      </c>
      <c r="Q11" s="9" t="str">
        <f>CHOOSE(FinalData[[#This Row],[Season]],"Spring","Summer","Fall","Winter")</f>
        <v>Spring</v>
      </c>
      <c r="R11" s="9" t="str">
        <f>CHOOSE(FinalData[[#This Row],[Weathersituation]],"Clear","Mist","Light Rain","Heavy Rain")</f>
        <v>Clear</v>
      </c>
      <c r="S11" s="9" t="str">
        <f>TEXT(FinalData[[#This Row],[Date]],"mmm")</f>
        <v>Jan</v>
      </c>
    </row>
    <row r="12" spans="1:19" x14ac:dyDescent="0.3">
      <c r="A12">
        <v>621</v>
      </c>
      <c r="B12" s="1">
        <v>40572</v>
      </c>
      <c r="C12">
        <v>1</v>
      </c>
      <c r="D12">
        <v>0</v>
      </c>
      <c r="E12">
        <v>1</v>
      </c>
      <c r="F12">
        <v>2</v>
      </c>
      <c r="G12" t="b">
        <v>0</v>
      </c>
      <c r="H12">
        <v>6</v>
      </c>
      <c r="I12">
        <v>1</v>
      </c>
      <c r="J12">
        <v>0.22</v>
      </c>
      <c r="K12" s="6">
        <v>0.2273</v>
      </c>
      <c r="L12">
        <v>0.64</v>
      </c>
      <c r="M12">
        <v>0.16420000000000001</v>
      </c>
      <c r="N12" s="4">
        <v>0</v>
      </c>
      <c r="O12" s="4">
        <v>15</v>
      </c>
      <c r="P12" s="4">
        <v>15</v>
      </c>
      <c r="Q12" s="9" t="str">
        <f>CHOOSE(FinalData[[#This Row],[Season]],"Spring","Summer","Fall","Winter")</f>
        <v>Spring</v>
      </c>
      <c r="R12" s="9" t="str">
        <f>CHOOSE(FinalData[[#This Row],[Weathersituation]],"Clear","Mist","Light Rain","Heavy Rain")</f>
        <v>Clear</v>
      </c>
      <c r="S12" s="9" t="str">
        <f>TEXT(FinalData[[#This Row],[Date]],"mmm")</f>
        <v>Jan</v>
      </c>
    </row>
    <row r="13" spans="1:19" x14ac:dyDescent="0.3">
      <c r="A13">
        <v>622</v>
      </c>
      <c r="B13" s="1">
        <v>40572</v>
      </c>
      <c r="C13">
        <v>1</v>
      </c>
      <c r="D13">
        <v>0</v>
      </c>
      <c r="E13">
        <v>1</v>
      </c>
      <c r="F13">
        <v>3</v>
      </c>
      <c r="G13" t="b">
        <v>0</v>
      </c>
      <c r="H13">
        <v>6</v>
      </c>
      <c r="I13">
        <v>1</v>
      </c>
      <c r="J13">
        <v>0.2</v>
      </c>
      <c r="K13" s="6">
        <v>0.21210000000000001</v>
      </c>
      <c r="L13">
        <v>0.64</v>
      </c>
      <c r="M13">
        <v>0.1343</v>
      </c>
      <c r="N13" s="4">
        <v>3</v>
      </c>
      <c r="O13" s="4">
        <v>5</v>
      </c>
      <c r="P13" s="4">
        <v>8</v>
      </c>
      <c r="Q13" s="9" t="str">
        <f>CHOOSE(FinalData[[#This Row],[Season]],"Spring","Summer","Fall","Winter")</f>
        <v>Spring</v>
      </c>
      <c r="R13" s="9" t="str">
        <f>CHOOSE(FinalData[[#This Row],[Weathersituation]],"Clear","Mist","Light Rain","Heavy Rain")</f>
        <v>Clear</v>
      </c>
      <c r="S13" s="9" t="str">
        <f>TEXT(FinalData[[#This Row],[Date]],"mmm")</f>
        <v>Jan</v>
      </c>
    </row>
    <row r="14" spans="1:19" x14ac:dyDescent="0.3">
      <c r="A14">
        <v>623</v>
      </c>
      <c r="B14" s="1">
        <v>40572</v>
      </c>
      <c r="C14">
        <v>1</v>
      </c>
      <c r="D14">
        <v>0</v>
      </c>
      <c r="E14">
        <v>1</v>
      </c>
      <c r="F14">
        <v>4</v>
      </c>
      <c r="G14" t="b">
        <v>0</v>
      </c>
      <c r="H14">
        <v>6</v>
      </c>
      <c r="I14">
        <v>1</v>
      </c>
      <c r="J14">
        <v>0.16</v>
      </c>
      <c r="K14" s="6">
        <v>0.18179999999999999</v>
      </c>
      <c r="L14">
        <v>0.69</v>
      </c>
      <c r="M14">
        <v>0.1045</v>
      </c>
      <c r="N14" s="4">
        <v>1</v>
      </c>
      <c r="O14" s="4">
        <v>2</v>
      </c>
      <c r="P14" s="4">
        <v>3</v>
      </c>
      <c r="Q14" s="9" t="str">
        <f>CHOOSE(FinalData[[#This Row],[Season]],"Spring","Summer","Fall","Winter")</f>
        <v>Spring</v>
      </c>
      <c r="R14" s="9" t="str">
        <f>CHOOSE(FinalData[[#This Row],[Weathersituation]],"Clear","Mist","Light Rain","Heavy Rain")</f>
        <v>Clear</v>
      </c>
      <c r="S14" s="9" t="str">
        <f>TEXT(FinalData[[#This Row],[Date]],"mmm")</f>
        <v>Jan</v>
      </c>
    </row>
    <row r="15" spans="1:19" x14ac:dyDescent="0.3">
      <c r="A15">
        <v>624</v>
      </c>
      <c r="B15" s="1">
        <v>40572</v>
      </c>
      <c r="C15">
        <v>1</v>
      </c>
      <c r="D15">
        <v>0</v>
      </c>
      <c r="E15">
        <v>1</v>
      </c>
      <c r="F15">
        <v>6</v>
      </c>
      <c r="G15" t="b">
        <v>0</v>
      </c>
      <c r="H15">
        <v>6</v>
      </c>
      <c r="I15">
        <v>1</v>
      </c>
      <c r="J15">
        <v>0.16</v>
      </c>
      <c r="K15" s="6">
        <v>0.18179999999999999</v>
      </c>
      <c r="L15">
        <v>0.64</v>
      </c>
      <c r="M15">
        <v>0.1343</v>
      </c>
      <c r="N15" s="4">
        <v>0</v>
      </c>
      <c r="O15" s="4">
        <v>2</v>
      </c>
      <c r="P15" s="4">
        <v>2</v>
      </c>
      <c r="Q15" s="9" t="str">
        <f>CHOOSE(FinalData[[#This Row],[Season]],"Spring","Summer","Fall","Winter")</f>
        <v>Spring</v>
      </c>
      <c r="R15" s="9" t="str">
        <f>CHOOSE(FinalData[[#This Row],[Weathersituation]],"Clear","Mist","Light Rain","Heavy Rain")</f>
        <v>Clear</v>
      </c>
      <c r="S15" s="9" t="str">
        <f>TEXT(FinalData[[#This Row],[Date]],"mmm")</f>
        <v>Jan</v>
      </c>
    </row>
    <row r="16" spans="1:19" x14ac:dyDescent="0.3">
      <c r="A16">
        <v>625</v>
      </c>
      <c r="B16" s="1">
        <v>40572</v>
      </c>
      <c r="C16">
        <v>1</v>
      </c>
      <c r="D16">
        <v>0</v>
      </c>
      <c r="E16">
        <v>1</v>
      </c>
      <c r="F16">
        <v>7</v>
      </c>
      <c r="G16" t="b">
        <v>0</v>
      </c>
      <c r="H16">
        <v>6</v>
      </c>
      <c r="I16">
        <v>1</v>
      </c>
      <c r="J16">
        <v>0.16</v>
      </c>
      <c r="K16" s="6">
        <v>0.18179999999999999</v>
      </c>
      <c r="L16">
        <v>0.59</v>
      </c>
      <c r="M16">
        <v>0.1045</v>
      </c>
      <c r="N16" s="4">
        <v>1</v>
      </c>
      <c r="O16" s="4">
        <v>4</v>
      </c>
      <c r="P16" s="4">
        <v>5</v>
      </c>
      <c r="Q16" s="9" t="str">
        <f>CHOOSE(FinalData[[#This Row],[Season]],"Spring","Summer","Fall","Winter")</f>
        <v>Spring</v>
      </c>
      <c r="R16" s="9" t="str">
        <f>CHOOSE(FinalData[[#This Row],[Weathersituation]],"Clear","Mist","Light Rain","Heavy Rain")</f>
        <v>Clear</v>
      </c>
      <c r="S16" s="9" t="str">
        <f>TEXT(FinalData[[#This Row],[Date]],"mmm")</f>
        <v>Jan</v>
      </c>
    </row>
    <row r="17" spans="1:19" x14ac:dyDescent="0.3">
      <c r="A17">
        <v>626</v>
      </c>
      <c r="B17" s="1">
        <v>40572</v>
      </c>
      <c r="C17">
        <v>1</v>
      </c>
      <c r="D17">
        <v>0</v>
      </c>
      <c r="E17">
        <v>1</v>
      </c>
      <c r="F17">
        <v>8</v>
      </c>
      <c r="G17" t="b">
        <v>0</v>
      </c>
      <c r="H17">
        <v>6</v>
      </c>
      <c r="I17">
        <v>1</v>
      </c>
      <c r="J17">
        <v>0.18</v>
      </c>
      <c r="K17" s="6">
        <v>0.19700000000000001</v>
      </c>
      <c r="L17">
        <v>0.55000000000000004</v>
      </c>
      <c r="M17">
        <v>0.16420000000000001</v>
      </c>
      <c r="N17" s="4">
        <v>3</v>
      </c>
      <c r="O17" s="4">
        <v>31</v>
      </c>
      <c r="P17" s="4">
        <v>34</v>
      </c>
      <c r="Q17" s="9" t="str">
        <f>CHOOSE(FinalData[[#This Row],[Season]],"Spring","Summer","Fall","Winter")</f>
        <v>Spring</v>
      </c>
      <c r="R17" s="9" t="str">
        <f>CHOOSE(FinalData[[#This Row],[Weathersituation]],"Clear","Mist","Light Rain","Heavy Rain")</f>
        <v>Clear</v>
      </c>
      <c r="S17" s="9" t="str">
        <f>TEXT(FinalData[[#This Row],[Date]],"mmm")</f>
        <v>Jan</v>
      </c>
    </row>
    <row r="18" spans="1:19" x14ac:dyDescent="0.3">
      <c r="A18">
        <v>627</v>
      </c>
      <c r="B18" s="1">
        <v>40572</v>
      </c>
      <c r="C18">
        <v>1</v>
      </c>
      <c r="D18">
        <v>0</v>
      </c>
      <c r="E18">
        <v>1</v>
      </c>
      <c r="F18">
        <v>9</v>
      </c>
      <c r="G18" t="b">
        <v>0</v>
      </c>
      <c r="H18">
        <v>6</v>
      </c>
      <c r="I18">
        <v>1</v>
      </c>
      <c r="J18">
        <v>0.18</v>
      </c>
      <c r="K18" s="6">
        <v>0.21210000000000001</v>
      </c>
      <c r="L18">
        <v>0.59</v>
      </c>
      <c r="M18">
        <v>8.9599999999999999E-2</v>
      </c>
      <c r="N18" s="4">
        <v>0</v>
      </c>
      <c r="O18" s="4">
        <v>34</v>
      </c>
      <c r="P18" s="4">
        <v>34</v>
      </c>
      <c r="Q18" s="9" t="str">
        <f>CHOOSE(FinalData[[#This Row],[Season]],"Spring","Summer","Fall","Winter")</f>
        <v>Spring</v>
      </c>
      <c r="R18" s="9" t="str">
        <f>CHOOSE(FinalData[[#This Row],[Weathersituation]],"Clear","Mist","Light Rain","Heavy Rain")</f>
        <v>Clear</v>
      </c>
      <c r="S18" s="9" t="str">
        <f>TEXT(FinalData[[#This Row],[Date]],"mmm")</f>
        <v>Jan</v>
      </c>
    </row>
    <row r="19" spans="1:19" x14ac:dyDescent="0.3">
      <c r="A19">
        <v>628</v>
      </c>
      <c r="B19" s="1">
        <v>40572</v>
      </c>
      <c r="C19">
        <v>1</v>
      </c>
      <c r="D19">
        <v>0</v>
      </c>
      <c r="E19">
        <v>1</v>
      </c>
      <c r="F19">
        <v>10</v>
      </c>
      <c r="G19" t="b">
        <v>0</v>
      </c>
      <c r="H19">
        <v>6</v>
      </c>
      <c r="I19">
        <v>2</v>
      </c>
      <c r="J19">
        <v>0.18</v>
      </c>
      <c r="K19" s="6">
        <v>0.21210000000000001</v>
      </c>
      <c r="L19">
        <v>0.64</v>
      </c>
      <c r="M19">
        <v>0.1045</v>
      </c>
      <c r="N19" s="4">
        <v>4</v>
      </c>
      <c r="O19" s="4">
        <v>51</v>
      </c>
      <c r="P19" s="4">
        <v>55</v>
      </c>
      <c r="Q19" s="9" t="str">
        <f>CHOOSE(FinalData[[#This Row],[Season]],"Spring","Summer","Fall","Winter")</f>
        <v>Spring</v>
      </c>
      <c r="R19" s="9" t="str">
        <f>CHOOSE(FinalData[[#This Row],[Weathersituation]],"Clear","Mist","Light Rain","Heavy Rain")</f>
        <v>Mist</v>
      </c>
      <c r="S19" s="9" t="str">
        <f>TEXT(FinalData[[#This Row],[Date]],"mmm")</f>
        <v>Jan</v>
      </c>
    </row>
    <row r="20" spans="1:19" x14ac:dyDescent="0.3">
      <c r="A20">
        <v>629</v>
      </c>
      <c r="B20" s="1">
        <v>40572</v>
      </c>
      <c r="C20">
        <v>1</v>
      </c>
      <c r="D20">
        <v>0</v>
      </c>
      <c r="E20">
        <v>1</v>
      </c>
      <c r="F20">
        <v>11</v>
      </c>
      <c r="G20" t="b">
        <v>0</v>
      </c>
      <c r="H20">
        <v>6</v>
      </c>
      <c r="I20">
        <v>2</v>
      </c>
      <c r="J20">
        <v>0.18</v>
      </c>
      <c r="K20" s="6">
        <v>0.19700000000000001</v>
      </c>
      <c r="L20">
        <v>0.64</v>
      </c>
      <c r="M20">
        <v>0.1343</v>
      </c>
      <c r="N20" s="4">
        <v>4</v>
      </c>
      <c r="O20" s="4">
        <v>60</v>
      </c>
      <c r="P20" s="4">
        <v>64</v>
      </c>
      <c r="Q20" s="9" t="str">
        <f>CHOOSE(FinalData[[#This Row],[Season]],"Spring","Summer","Fall","Winter")</f>
        <v>Spring</v>
      </c>
      <c r="R20" s="9" t="str">
        <f>CHOOSE(FinalData[[#This Row],[Weathersituation]],"Clear","Mist","Light Rain","Heavy Rain")</f>
        <v>Mist</v>
      </c>
      <c r="S20" s="9" t="str">
        <f>TEXT(FinalData[[#This Row],[Date]],"mmm")</f>
        <v>Jan</v>
      </c>
    </row>
    <row r="21" spans="1:19" x14ac:dyDescent="0.3">
      <c r="A21">
        <v>630</v>
      </c>
      <c r="B21" s="1">
        <v>40572</v>
      </c>
      <c r="C21">
        <v>1</v>
      </c>
      <c r="D21">
        <v>0</v>
      </c>
      <c r="E21">
        <v>1</v>
      </c>
      <c r="F21">
        <v>12</v>
      </c>
      <c r="G21" t="b">
        <v>0</v>
      </c>
      <c r="H21">
        <v>6</v>
      </c>
      <c r="I21">
        <v>2</v>
      </c>
      <c r="J21">
        <v>0.2</v>
      </c>
      <c r="K21" s="6">
        <v>0.19700000000000001</v>
      </c>
      <c r="L21">
        <v>0.59</v>
      </c>
      <c r="M21">
        <v>0.19400000000000001</v>
      </c>
      <c r="N21" s="4">
        <v>12</v>
      </c>
      <c r="O21" s="4">
        <v>66</v>
      </c>
      <c r="P21" s="4">
        <v>78</v>
      </c>
      <c r="Q21" s="9" t="str">
        <f>CHOOSE(FinalData[[#This Row],[Season]],"Spring","Summer","Fall","Winter")</f>
        <v>Spring</v>
      </c>
      <c r="R21" s="9" t="str">
        <f>CHOOSE(FinalData[[#This Row],[Weathersituation]],"Clear","Mist","Light Rain","Heavy Rain")</f>
        <v>Mist</v>
      </c>
      <c r="S21" s="9" t="str">
        <f>TEXT(FinalData[[#This Row],[Date]],"mmm")</f>
        <v>Jan</v>
      </c>
    </row>
    <row r="22" spans="1:19" x14ac:dyDescent="0.3">
      <c r="A22">
        <v>631</v>
      </c>
      <c r="B22" s="1">
        <v>40572</v>
      </c>
      <c r="C22">
        <v>1</v>
      </c>
      <c r="D22">
        <v>0</v>
      </c>
      <c r="E22">
        <v>1</v>
      </c>
      <c r="F22">
        <v>13</v>
      </c>
      <c r="G22" t="b">
        <v>0</v>
      </c>
      <c r="H22">
        <v>6</v>
      </c>
      <c r="I22">
        <v>2</v>
      </c>
      <c r="J22">
        <v>0.22</v>
      </c>
      <c r="K22" s="6">
        <v>0.2273</v>
      </c>
      <c r="L22">
        <v>0.55000000000000004</v>
      </c>
      <c r="M22">
        <v>0.16420000000000001</v>
      </c>
      <c r="N22" s="4">
        <v>9</v>
      </c>
      <c r="O22" s="4">
        <v>56</v>
      </c>
      <c r="P22" s="4">
        <v>65</v>
      </c>
      <c r="Q22" s="9" t="str">
        <f>CHOOSE(FinalData[[#This Row],[Season]],"Spring","Summer","Fall","Winter")</f>
        <v>Spring</v>
      </c>
      <c r="R22" s="9" t="str">
        <f>CHOOSE(FinalData[[#This Row],[Weathersituation]],"Clear","Mist","Light Rain","Heavy Rain")</f>
        <v>Mist</v>
      </c>
      <c r="S22" s="9" t="str">
        <f>TEXT(FinalData[[#This Row],[Date]],"mmm")</f>
        <v>Jan</v>
      </c>
    </row>
    <row r="23" spans="1:19" x14ac:dyDescent="0.3">
      <c r="A23">
        <v>632</v>
      </c>
      <c r="B23" s="1">
        <v>40572</v>
      </c>
      <c r="C23">
        <v>1</v>
      </c>
      <c r="D23">
        <v>0</v>
      </c>
      <c r="E23">
        <v>1</v>
      </c>
      <c r="F23">
        <v>14</v>
      </c>
      <c r="G23" t="b">
        <v>0</v>
      </c>
      <c r="H23">
        <v>6</v>
      </c>
      <c r="I23">
        <v>2</v>
      </c>
      <c r="J23">
        <v>0.22</v>
      </c>
      <c r="K23" s="6">
        <v>0.2273</v>
      </c>
      <c r="L23">
        <v>0.6</v>
      </c>
      <c r="M23">
        <v>0.1343</v>
      </c>
      <c r="N23" s="4">
        <v>10</v>
      </c>
      <c r="O23" s="4">
        <v>89</v>
      </c>
      <c r="P23" s="4">
        <v>99</v>
      </c>
      <c r="Q23" s="9" t="str">
        <f>CHOOSE(FinalData[[#This Row],[Season]],"Spring","Summer","Fall","Winter")</f>
        <v>Spring</v>
      </c>
      <c r="R23" s="9" t="str">
        <f>CHOOSE(FinalData[[#This Row],[Weathersituation]],"Clear","Mist","Light Rain","Heavy Rain")</f>
        <v>Mist</v>
      </c>
      <c r="S23" s="9" t="str">
        <f>TEXT(FinalData[[#This Row],[Date]],"mmm")</f>
        <v>Jan</v>
      </c>
    </row>
    <row r="24" spans="1:19" x14ac:dyDescent="0.3">
      <c r="A24">
        <v>633</v>
      </c>
      <c r="B24" s="1">
        <v>40572</v>
      </c>
      <c r="C24">
        <v>1</v>
      </c>
      <c r="D24">
        <v>0</v>
      </c>
      <c r="E24">
        <v>1</v>
      </c>
      <c r="F24">
        <v>15</v>
      </c>
      <c r="G24" t="b">
        <v>0</v>
      </c>
      <c r="H24">
        <v>6</v>
      </c>
      <c r="I24">
        <v>1</v>
      </c>
      <c r="J24">
        <v>0.22</v>
      </c>
      <c r="K24" s="6">
        <v>0.21210000000000001</v>
      </c>
      <c r="L24">
        <v>0.69</v>
      </c>
      <c r="M24">
        <v>0.25369999999999998</v>
      </c>
      <c r="N24" s="4">
        <v>22</v>
      </c>
      <c r="O24" s="4">
        <v>98</v>
      </c>
      <c r="P24" s="4">
        <v>120</v>
      </c>
      <c r="Q24" s="9" t="str">
        <f>CHOOSE(FinalData[[#This Row],[Season]],"Spring","Summer","Fall","Winter")</f>
        <v>Spring</v>
      </c>
      <c r="R24" s="9" t="str">
        <f>CHOOSE(FinalData[[#This Row],[Weathersituation]],"Clear","Mist","Light Rain","Heavy Rain")</f>
        <v>Clear</v>
      </c>
      <c r="S24" s="9" t="str">
        <f>TEXT(FinalData[[#This Row],[Date]],"mmm")</f>
        <v>Jan</v>
      </c>
    </row>
    <row r="25" spans="1:19" x14ac:dyDescent="0.3">
      <c r="A25">
        <v>634</v>
      </c>
      <c r="B25" s="1">
        <v>40572</v>
      </c>
      <c r="C25">
        <v>1</v>
      </c>
      <c r="D25">
        <v>0</v>
      </c>
      <c r="E25">
        <v>1</v>
      </c>
      <c r="F25">
        <v>16</v>
      </c>
      <c r="G25" t="b">
        <v>0</v>
      </c>
      <c r="H25">
        <v>6</v>
      </c>
      <c r="I25">
        <v>1</v>
      </c>
      <c r="J25">
        <v>0.24</v>
      </c>
      <c r="K25" s="6">
        <v>0.2424</v>
      </c>
      <c r="L25">
        <v>0.6</v>
      </c>
      <c r="M25">
        <v>0.16420000000000001</v>
      </c>
      <c r="N25" s="4">
        <v>19</v>
      </c>
      <c r="O25" s="4">
        <v>88</v>
      </c>
      <c r="P25" s="4">
        <v>107</v>
      </c>
      <c r="Q25" s="9" t="str">
        <f>CHOOSE(FinalData[[#This Row],[Season]],"Spring","Summer","Fall","Winter")</f>
        <v>Spring</v>
      </c>
      <c r="R25" s="9" t="str">
        <f>CHOOSE(FinalData[[#This Row],[Weathersituation]],"Clear","Mist","Light Rain","Heavy Rain")</f>
        <v>Clear</v>
      </c>
      <c r="S25" s="9" t="str">
        <f>TEXT(FinalData[[#This Row],[Date]],"mmm")</f>
        <v>Jan</v>
      </c>
    </row>
    <row r="26" spans="1:19" x14ac:dyDescent="0.3">
      <c r="A26">
        <v>635</v>
      </c>
      <c r="B26" s="1">
        <v>40572</v>
      </c>
      <c r="C26">
        <v>1</v>
      </c>
      <c r="D26">
        <v>0</v>
      </c>
      <c r="E26">
        <v>1</v>
      </c>
      <c r="F26">
        <v>17</v>
      </c>
      <c r="G26" t="b">
        <v>0</v>
      </c>
      <c r="H26">
        <v>6</v>
      </c>
      <c r="I26">
        <v>1</v>
      </c>
      <c r="J26">
        <v>0.24</v>
      </c>
      <c r="K26" s="6">
        <v>0.28789999999999999</v>
      </c>
      <c r="L26">
        <v>0.6</v>
      </c>
      <c r="M26">
        <v>0</v>
      </c>
      <c r="N26" s="4">
        <v>9</v>
      </c>
      <c r="O26" s="4">
        <v>82</v>
      </c>
      <c r="P26" s="4">
        <v>91</v>
      </c>
      <c r="Q26" s="9" t="str">
        <f>CHOOSE(FinalData[[#This Row],[Season]],"Spring","Summer","Fall","Winter")</f>
        <v>Spring</v>
      </c>
      <c r="R26" s="9" t="str">
        <f>CHOOSE(FinalData[[#This Row],[Weathersituation]],"Clear","Mist","Light Rain","Heavy Rain")</f>
        <v>Clear</v>
      </c>
      <c r="S26" s="9" t="str">
        <f>TEXT(FinalData[[#This Row],[Date]],"mmm")</f>
        <v>Jan</v>
      </c>
    </row>
    <row r="27" spans="1:19" x14ac:dyDescent="0.3">
      <c r="A27">
        <v>636</v>
      </c>
      <c r="B27" s="1">
        <v>40572</v>
      </c>
      <c r="C27">
        <v>1</v>
      </c>
      <c r="D27">
        <v>0</v>
      </c>
      <c r="E27">
        <v>1</v>
      </c>
      <c r="F27">
        <v>18</v>
      </c>
      <c r="G27" t="b">
        <v>0</v>
      </c>
      <c r="H27">
        <v>6</v>
      </c>
      <c r="I27">
        <v>1</v>
      </c>
      <c r="J27">
        <v>0.22</v>
      </c>
      <c r="K27" s="6">
        <v>0.2273</v>
      </c>
      <c r="L27">
        <v>0.69</v>
      </c>
      <c r="M27">
        <v>0.1343</v>
      </c>
      <c r="N27" s="4">
        <v>9</v>
      </c>
      <c r="O27" s="4">
        <v>59</v>
      </c>
      <c r="P27" s="4">
        <v>68</v>
      </c>
      <c r="Q27" s="9" t="str">
        <f>CHOOSE(FinalData[[#This Row],[Season]],"Spring","Summer","Fall","Winter")</f>
        <v>Spring</v>
      </c>
      <c r="R27" s="9" t="str">
        <f>CHOOSE(FinalData[[#This Row],[Weathersituation]],"Clear","Mist","Light Rain","Heavy Rain")</f>
        <v>Clear</v>
      </c>
      <c r="S27" s="9" t="str">
        <f>TEXT(FinalData[[#This Row],[Date]],"mmm")</f>
        <v>Jan</v>
      </c>
    </row>
    <row r="28" spans="1:19" x14ac:dyDescent="0.3">
      <c r="A28">
        <v>637</v>
      </c>
      <c r="B28" s="1">
        <v>40572</v>
      </c>
      <c r="C28">
        <v>1</v>
      </c>
      <c r="D28">
        <v>0</v>
      </c>
      <c r="E28">
        <v>1</v>
      </c>
      <c r="F28">
        <v>19</v>
      </c>
      <c r="G28" t="b">
        <v>0</v>
      </c>
      <c r="H28">
        <v>6</v>
      </c>
      <c r="I28">
        <v>2</v>
      </c>
      <c r="J28">
        <v>0.22</v>
      </c>
      <c r="K28" s="6">
        <v>0.21210000000000001</v>
      </c>
      <c r="L28">
        <v>0.69</v>
      </c>
      <c r="M28">
        <v>0.25369999999999998</v>
      </c>
      <c r="N28" s="4">
        <v>6</v>
      </c>
      <c r="O28" s="4">
        <v>52</v>
      </c>
      <c r="P28" s="4">
        <v>58</v>
      </c>
      <c r="Q28" s="9" t="str">
        <f>CHOOSE(FinalData[[#This Row],[Season]],"Spring","Summer","Fall","Winter")</f>
        <v>Spring</v>
      </c>
      <c r="R28" s="9" t="str">
        <f>CHOOSE(FinalData[[#This Row],[Weathersituation]],"Clear","Mist","Light Rain","Heavy Rain")</f>
        <v>Mist</v>
      </c>
      <c r="S28" s="9" t="str">
        <f>TEXT(FinalData[[#This Row],[Date]],"mmm")</f>
        <v>Jan</v>
      </c>
    </row>
    <row r="29" spans="1:19" x14ac:dyDescent="0.3">
      <c r="A29">
        <v>638</v>
      </c>
      <c r="B29" s="1">
        <v>40572</v>
      </c>
      <c r="C29">
        <v>1</v>
      </c>
      <c r="D29">
        <v>0</v>
      </c>
      <c r="E29">
        <v>1</v>
      </c>
      <c r="F29">
        <v>20</v>
      </c>
      <c r="G29" t="b">
        <v>0</v>
      </c>
      <c r="H29">
        <v>6</v>
      </c>
      <c r="I29">
        <v>1</v>
      </c>
      <c r="J29">
        <v>0.18</v>
      </c>
      <c r="K29" s="6">
        <v>0.21210000000000001</v>
      </c>
      <c r="L29">
        <v>0.74</v>
      </c>
      <c r="M29">
        <v>8.9599999999999999E-2</v>
      </c>
      <c r="N29" s="4">
        <v>1</v>
      </c>
      <c r="O29" s="4">
        <v>42</v>
      </c>
      <c r="P29" s="4">
        <v>43</v>
      </c>
      <c r="Q29" s="9" t="str">
        <f>CHOOSE(FinalData[[#This Row],[Season]],"Spring","Summer","Fall","Winter")</f>
        <v>Spring</v>
      </c>
      <c r="R29" s="9" t="str">
        <f>CHOOSE(FinalData[[#This Row],[Weathersituation]],"Clear","Mist","Light Rain","Heavy Rain")</f>
        <v>Clear</v>
      </c>
      <c r="S29" s="9" t="str">
        <f>TEXT(FinalData[[#This Row],[Date]],"mmm")</f>
        <v>Jan</v>
      </c>
    </row>
    <row r="30" spans="1:19" x14ac:dyDescent="0.3">
      <c r="A30">
        <v>639</v>
      </c>
      <c r="B30" s="1">
        <v>40572</v>
      </c>
      <c r="C30">
        <v>1</v>
      </c>
      <c r="D30">
        <v>0</v>
      </c>
      <c r="E30">
        <v>1</v>
      </c>
      <c r="F30">
        <v>21</v>
      </c>
      <c r="G30" t="b">
        <v>0</v>
      </c>
      <c r="H30">
        <v>6</v>
      </c>
      <c r="I30">
        <v>1</v>
      </c>
      <c r="J30">
        <v>0.18</v>
      </c>
      <c r="K30" s="6">
        <v>0.21210000000000001</v>
      </c>
      <c r="L30">
        <v>0.74</v>
      </c>
      <c r="M30">
        <v>8.9599999999999999E-2</v>
      </c>
      <c r="N30" s="4">
        <v>1</v>
      </c>
      <c r="O30" s="4">
        <v>35</v>
      </c>
      <c r="P30" s="4">
        <v>36</v>
      </c>
      <c r="Q30" s="9" t="str">
        <f>CHOOSE(FinalData[[#This Row],[Season]],"Spring","Summer","Fall","Winter")</f>
        <v>Spring</v>
      </c>
      <c r="R30" s="9" t="str">
        <f>CHOOSE(FinalData[[#This Row],[Weathersituation]],"Clear","Mist","Light Rain","Heavy Rain")</f>
        <v>Clear</v>
      </c>
      <c r="S30" s="9" t="str">
        <f>TEXT(FinalData[[#This Row],[Date]],"mmm")</f>
        <v>Jan</v>
      </c>
    </row>
    <row r="31" spans="1:19" x14ac:dyDescent="0.3">
      <c r="A31">
        <v>640</v>
      </c>
      <c r="B31" s="1">
        <v>40572</v>
      </c>
      <c r="C31">
        <v>1</v>
      </c>
      <c r="D31">
        <v>0</v>
      </c>
      <c r="E31">
        <v>1</v>
      </c>
      <c r="F31">
        <v>22</v>
      </c>
      <c r="G31" t="b">
        <v>0</v>
      </c>
      <c r="H31">
        <v>6</v>
      </c>
      <c r="I31">
        <v>1</v>
      </c>
      <c r="J31">
        <v>0.16</v>
      </c>
      <c r="K31" s="6">
        <v>0.19700000000000001</v>
      </c>
      <c r="L31">
        <v>0.8</v>
      </c>
      <c r="M31">
        <v>8.9599999999999999E-2</v>
      </c>
      <c r="N31" s="4">
        <v>4</v>
      </c>
      <c r="O31" s="4">
        <v>28</v>
      </c>
      <c r="P31" s="4">
        <v>32</v>
      </c>
      <c r="Q31" s="9" t="str">
        <f>CHOOSE(FinalData[[#This Row],[Season]],"Spring","Summer","Fall","Winter")</f>
        <v>Spring</v>
      </c>
      <c r="R31" s="9" t="str">
        <f>CHOOSE(FinalData[[#This Row],[Weathersituation]],"Clear","Mist","Light Rain","Heavy Rain")</f>
        <v>Clear</v>
      </c>
      <c r="S31" s="9" t="str">
        <f>TEXT(FinalData[[#This Row],[Date]],"mmm")</f>
        <v>Jan</v>
      </c>
    </row>
    <row r="32" spans="1:19" x14ac:dyDescent="0.3">
      <c r="A32">
        <v>641</v>
      </c>
      <c r="B32" s="1">
        <v>40572</v>
      </c>
      <c r="C32">
        <v>1</v>
      </c>
      <c r="D32">
        <v>0</v>
      </c>
      <c r="E32">
        <v>1</v>
      </c>
      <c r="F32">
        <v>23</v>
      </c>
      <c r="G32" t="b">
        <v>0</v>
      </c>
      <c r="H32">
        <v>6</v>
      </c>
      <c r="I32">
        <v>1</v>
      </c>
      <c r="J32">
        <v>0.16</v>
      </c>
      <c r="K32" s="6">
        <v>0.19700000000000001</v>
      </c>
      <c r="L32">
        <v>0.8</v>
      </c>
      <c r="M32">
        <v>8.9599999999999999E-2</v>
      </c>
      <c r="N32" s="4">
        <v>3</v>
      </c>
      <c r="O32" s="4">
        <v>30</v>
      </c>
      <c r="P32" s="4">
        <v>33</v>
      </c>
      <c r="Q32" s="9" t="str">
        <f>CHOOSE(FinalData[[#This Row],[Season]],"Spring","Summer","Fall","Winter")</f>
        <v>Spring</v>
      </c>
      <c r="R32" s="9" t="str">
        <f>CHOOSE(FinalData[[#This Row],[Weathersituation]],"Clear","Mist","Light Rain","Heavy Rain")</f>
        <v>Clear</v>
      </c>
      <c r="S32" s="9" t="str">
        <f>TEXT(FinalData[[#This Row],[Date]],"mmm")</f>
        <v>Jan</v>
      </c>
    </row>
    <row r="33" spans="1:19" x14ac:dyDescent="0.3">
      <c r="A33">
        <v>642</v>
      </c>
      <c r="B33" s="1">
        <v>40573</v>
      </c>
      <c r="C33">
        <v>1</v>
      </c>
      <c r="D33">
        <v>0</v>
      </c>
      <c r="E33">
        <v>1</v>
      </c>
      <c r="F33">
        <v>0</v>
      </c>
      <c r="G33" t="b">
        <v>0</v>
      </c>
      <c r="H33">
        <v>0</v>
      </c>
      <c r="I33">
        <v>1</v>
      </c>
      <c r="J33">
        <v>0.16</v>
      </c>
      <c r="K33" s="6">
        <v>0.18179999999999999</v>
      </c>
      <c r="L33">
        <v>0.8</v>
      </c>
      <c r="M33">
        <v>0.1045</v>
      </c>
      <c r="N33" s="4">
        <v>0</v>
      </c>
      <c r="O33" s="4">
        <v>33</v>
      </c>
      <c r="P33" s="4">
        <v>33</v>
      </c>
      <c r="Q33" s="9" t="str">
        <f>CHOOSE(FinalData[[#This Row],[Season]],"Spring","Summer","Fall","Winter")</f>
        <v>Spring</v>
      </c>
      <c r="R33" s="9" t="str">
        <f>CHOOSE(FinalData[[#This Row],[Weathersituation]],"Clear","Mist","Light Rain","Heavy Rain")</f>
        <v>Clear</v>
      </c>
      <c r="S33" s="9" t="str">
        <f>TEXT(FinalData[[#This Row],[Date]],"mmm")</f>
        <v>Jan</v>
      </c>
    </row>
    <row r="34" spans="1:19" x14ac:dyDescent="0.3">
      <c r="A34">
        <v>643</v>
      </c>
      <c r="B34" s="1">
        <v>40573</v>
      </c>
      <c r="C34">
        <v>1</v>
      </c>
      <c r="D34">
        <v>0</v>
      </c>
      <c r="E34">
        <v>1</v>
      </c>
      <c r="F34">
        <v>1</v>
      </c>
      <c r="G34" t="b">
        <v>0</v>
      </c>
      <c r="H34">
        <v>0</v>
      </c>
      <c r="I34">
        <v>1</v>
      </c>
      <c r="J34">
        <v>0.14000000000000001</v>
      </c>
      <c r="K34" s="6">
        <v>0.21210000000000001</v>
      </c>
      <c r="L34">
        <v>0.8</v>
      </c>
      <c r="M34">
        <v>0</v>
      </c>
      <c r="N34" s="4">
        <v>7</v>
      </c>
      <c r="O34" s="4">
        <v>22</v>
      </c>
      <c r="P34" s="4">
        <v>29</v>
      </c>
      <c r="Q34" s="9" t="str">
        <f>CHOOSE(FinalData[[#This Row],[Season]],"Spring","Summer","Fall","Winter")</f>
        <v>Spring</v>
      </c>
      <c r="R34" s="9" t="str">
        <f>CHOOSE(FinalData[[#This Row],[Weathersituation]],"Clear","Mist","Light Rain","Heavy Rain")</f>
        <v>Clear</v>
      </c>
      <c r="S34" s="9" t="str">
        <f>TEXT(FinalData[[#This Row],[Date]],"mmm")</f>
        <v>Jan</v>
      </c>
    </row>
    <row r="35" spans="1:19" x14ac:dyDescent="0.3">
      <c r="A35">
        <v>644</v>
      </c>
      <c r="B35" s="1">
        <v>40573</v>
      </c>
      <c r="C35">
        <v>1</v>
      </c>
      <c r="D35">
        <v>0</v>
      </c>
      <c r="E35">
        <v>1</v>
      </c>
      <c r="F35">
        <v>2</v>
      </c>
      <c r="G35" t="b">
        <v>0</v>
      </c>
      <c r="H35">
        <v>0</v>
      </c>
      <c r="I35">
        <v>1</v>
      </c>
      <c r="J35">
        <v>0.16</v>
      </c>
      <c r="K35" s="6">
        <v>0.2273</v>
      </c>
      <c r="L35">
        <v>0.8</v>
      </c>
      <c r="M35">
        <v>0</v>
      </c>
      <c r="N35" s="4">
        <v>1</v>
      </c>
      <c r="O35" s="4">
        <v>10</v>
      </c>
      <c r="P35" s="4">
        <v>11</v>
      </c>
      <c r="Q35" s="9" t="str">
        <f>CHOOSE(FinalData[[#This Row],[Season]],"Spring","Summer","Fall","Winter")</f>
        <v>Spring</v>
      </c>
      <c r="R35" s="9" t="str">
        <f>CHOOSE(FinalData[[#This Row],[Weathersituation]],"Clear","Mist","Light Rain","Heavy Rain")</f>
        <v>Clear</v>
      </c>
      <c r="S35" s="9" t="str">
        <f>TEXT(FinalData[[#This Row],[Date]],"mmm")</f>
        <v>Jan</v>
      </c>
    </row>
    <row r="36" spans="1:19" x14ac:dyDescent="0.3">
      <c r="A36">
        <v>645</v>
      </c>
      <c r="B36" s="1">
        <v>40573</v>
      </c>
      <c r="C36">
        <v>1</v>
      </c>
      <c r="D36">
        <v>0</v>
      </c>
      <c r="E36">
        <v>1</v>
      </c>
      <c r="F36">
        <v>3</v>
      </c>
      <c r="G36" t="b">
        <v>0</v>
      </c>
      <c r="H36">
        <v>0</v>
      </c>
      <c r="I36">
        <v>1</v>
      </c>
      <c r="J36">
        <v>0.14000000000000001</v>
      </c>
      <c r="K36" s="6">
        <v>0.21210000000000001</v>
      </c>
      <c r="L36">
        <v>0.93</v>
      </c>
      <c r="M36">
        <v>0</v>
      </c>
      <c r="N36" s="4">
        <v>1</v>
      </c>
      <c r="O36" s="4">
        <v>7</v>
      </c>
      <c r="P36" s="4">
        <v>8</v>
      </c>
      <c r="Q36" s="9" t="str">
        <f>CHOOSE(FinalData[[#This Row],[Season]],"Spring","Summer","Fall","Winter")</f>
        <v>Spring</v>
      </c>
      <c r="R36" s="9" t="str">
        <f>CHOOSE(FinalData[[#This Row],[Weathersituation]],"Clear","Mist","Light Rain","Heavy Rain")</f>
        <v>Clear</v>
      </c>
      <c r="S36" s="9" t="str">
        <f>TEXT(FinalData[[#This Row],[Date]],"mmm")</f>
        <v>Jan</v>
      </c>
    </row>
    <row r="37" spans="1:19" x14ac:dyDescent="0.3">
      <c r="A37">
        <v>646</v>
      </c>
      <c r="B37" s="1">
        <v>40573</v>
      </c>
      <c r="C37">
        <v>1</v>
      </c>
      <c r="D37">
        <v>0</v>
      </c>
      <c r="E37">
        <v>1</v>
      </c>
      <c r="F37">
        <v>4</v>
      </c>
      <c r="G37" t="b">
        <v>0</v>
      </c>
      <c r="H37">
        <v>0</v>
      </c>
      <c r="I37">
        <v>1</v>
      </c>
      <c r="J37">
        <v>0.14000000000000001</v>
      </c>
      <c r="K37" s="6">
        <v>0.21210000000000001</v>
      </c>
      <c r="L37">
        <v>0.93</v>
      </c>
      <c r="M37">
        <v>0</v>
      </c>
      <c r="N37" s="4">
        <v>0</v>
      </c>
      <c r="O37" s="4">
        <v>1</v>
      </c>
      <c r="P37" s="4">
        <v>1</v>
      </c>
      <c r="Q37" s="9" t="str">
        <f>CHOOSE(FinalData[[#This Row],[Season]],"Spring","Summer","Fall","Winter")</f>
        <v>Spring</v>
      </c>
      <c r="R37" s="9" t="str">
        <f>CHOOSE(FinalData[[#This Row],[Weathersituation]],"Clear","Mist","Light Rain","Heavy Rain")</f>
        <v>Clear</v>
      </c>
      <c r="S37" s="9" t="str">
        <f>TEXT(FinalData[[#This Row],[Date]],"mmm")</f>
        <v>Jan</v>
      </c>
    </row>
    <row r="38" spans="1:19" x14ac:dyDescent="0.3">
      <c r="A38">
        <v>647</v>
      </c>
      <c r="B38" s="1">
        <v>40573</v>
      </c>
      <c r="C38">
        <v>1</v>
      </c>
      <c r="D38">
        <v>0</v>
      </c>
      <c r="E38">
        <v>1</v>
      </c>
      <c r="F38">
        <v>5</v>
      </c>
      <c r="G38" t="b">
        <v>0</v>
      </c>
      <c r="H38">
        <v>0</v>
      </c>
      <c r="I38">
        <v>1</v>
      </c>
      <c r="J38">
        <v>0.14000000000000001</v>
      </c>
      <c r="K38" s="6">
        <v>0.21210000000000001</v>
      </c>
      <c r="L38">
        <v>0.86</v>
      </c>
      <c r="M38">
        <v>0</v>
      </c>
      <c r="N38" s="4">
        <v>0</v>
      </c>
      <c r="O38" s="4">
        <v>3</v>
      </c>
      <c r="P38" s="4">
        <v>3</v>
      </c>
      <c r="Q38" s="9" t="str">
        <f>CHOOSE(FinalData[[#This Row],[Season]],"Spring","Summer","Fall","Winter")</f>
        <v>Spring</v>
      </c>
      <c r="R38" s="9" t="str">
        <f>CHOOSE(FinalData[[#This Row],[Weathersituation]],"Clear","Mist","Light Rain","Heavy Rain")</f>
        <v>Clear</v>
      </c>
      <c r="S38" s="9" t="str">
        <f>TEXT(FinalData[[#This Row],[Date]],"mmm")</f>
        <v>Jan</v>
      </c>
    </row>
    <row r="39" spans="1:19" x14ac:dyDescent="0.3">
      <c r="A39">
        <v>648</v>
      </c>
      <c r="B39" s="1">
        <v>40573</v>
      </c>
      <c r="C39">
        <v>1</v>
      </c>
      <c r="D39">
        <v>0</v>
      </c>
      <c r="E39">
        <v>1</v>
      </c>
      <c r="F39">
        <v>7</v>
      </c>
      <c r="G39" t="b">
        <v>0</v>
      </c>
      <c r="H39">
        <v>0</v>
      </c>
      <c r="I39">
        <v>1</v>
      </c>
      <c r="J39">
        <v>0.14000000000000001</v>
      </c>
      <c r="K39" s="6">
        <v>0.21210000000000001</v>
      </c>
      <c r="L39">
        <v>0.86</v>
      </c>
      <c r="M39">
        <v>0</v>
      </c>
      <c r="N39" s="4">
        <v>0</v>
      </c>
      <c r="O39" s="4">
        <v>3</v>
      </c>
      <c r="P39" s="4">
        <v>3</v>
      </c>
      <c r="Q39" s="9" t="str">
        <f>CHOOSE(FinalData[[#This Row],[Season]],"Spring","Summer","Fall","Winter")</f>
        <v>Spring</v>
      </c>
      <c r="R39" s="9" t="str">
        <f>CHOOSE(FinalData[[#This Row],[Weathersituation]],"Clear","Mist","Light Rain","Heavy Rain")</f>
        <v>Clear</v>
      </c>
      <c r="S39" s="9" t="str">
        <f>TEXT(FinalData[[#This Row],[Date]],"mmm")</f>
        <v>Jan</v>
      </c>
    </row>
    <row r="40" spans="1:19" x14ac:dyDescent="0.3">
      <c r="A40">
        <v>649</v>
      </c>
      <c r="B40" s="1">
        <v>40573</v>
      </c>
      <c r="C40">
        <v>1</v>
      </c>
      <c r="D40">
        <v>0</v>
      </c>
      <c r="E40">
        <v>1</v>
      </c>
      <c r="F40">
        <v>8</v>
      </c>
      <c r="G40" t="b">
        <v>0</v>
      </c>
      <c r="H40">
        <v>0</v>
      </c>
      <c r="I40">
        <v>2</v>
      </c>
      <c r="J40">
        <v>0.14000000000000001</v>
      </c>
      <c r="K40" s="6">
        <v>0.21210000000000001</v>
      </c>
      <c r="L40">
        <v>0.86</v>
      </c>
      <c r="M40">
        <v>0</v>
      </c>
      <c r="N40" s="4">
        <v>1</v>
      </c>
      <c r="O40" s="4">
        <v>11</v>
      </c>
      <c r="P40" s="4">
        <v>12</v>
      </c>
      <c r="Q40" s="9" t="str">
        <f>CHOOSE(FinalData[[#This Row],[Season]],"Spring","Summer","Fall","Winter")</f>
        <v>Spring</v>
      </c>
      <c r="R40" s="9" t="str">
        <f>CHOOSE(FinalData[[#This Row],[Weathersituation]],"Clear","Mist","Light Rain","Heavy Rain")</f>
        <v>Mist</v>
      </c>
      <c r="S40" s="9" t="str">
        <f>TEXT(FinalData[[#This Row],[Date]],"mmm")</f>
        <v>Jan</v>
      </c>
    </row>
    <row r="41" spans="1:19" x14ac:dyDescent="0.3">
      <c r="A41">
        <v>650</v>
      </c>
      <c r="B41" s="1">
        <v>40573</v>
      </c>
      <c r="C41">
        <v>1</v>
      </c>
      <c r="D41">
        <v>0</v>
      </c>
      <c r="E41">
        <v>1</v>
      </c>
      <c r="F41">
        <v>9</v>
      </c>
      <c r="G41" t="b">
        <v>0</v>
      </c>
      <c r="H41">
        <v>0</v>
      </c>
      <c r="I41">
        <v>2</v>
      </c>
      <c r="J41">
        <v>0.16</v>
      </c>
      <c r="K41" s="6">
        <v>0.2273</v>
      </c>
      <c r="L41">
        <v>0.8</v>
      </c>
      <c r="M41">
        <v>0</v>
      </c>
      <c r="N41" s="4">
        <v>4</v>
      </c>
      <c r="O41" s="4">
        <v>34</v>
      </c>
      <c r="P41" s="4">
        <v>38</v>
      </c>
      <c r="Q41" s="9" t="str">
        <f>CHOOSE(FinalData[[#This Row],[Season]],"Spring","Summer","Fall","Winter")</f>
        <v>Spring</v>
      </c>
      <c r="R41" s="9" t="str">
        <f>CHOOSE(FinalData[[#This Row],[Weathersituation]],"Clear","Mist","Light Rain","Heavy Rain")</f>
        <v>Mist</v>
      </c>
      <c r="S41" s="9" t="str">
        <f>TEXT(FinalData[[#This Row],[Date]],"mmm")</f>
        <v>Jan</v>
      </c>
    </row>
    <row r="42" spans="1:19" x14ac:dyDescent="0.3">
      <c r="A42">
        <v>651</v>
      </c>
      <c r="B42" s="1">
        <v>40573</v>
      </c>
      <c r="C42">
        <v>1</v>
      </c>
      <c r="D42">
        <v>0</v>
      </c>
      <c r="E42">
        <v>1</v>
      </c>
      <c r="F42">
        <v>10</v>
      </c>
      <c r="G42" t="b">
        <v>0</v>
      </c>
      <c r="H42">
        <v>0</v>
      </c>
      <c r="I42">
        <v>2</v>
      </c>
      <c r="J42">
        <v>0.18</v>
      </c>
      <c r="K42" s="6">
        <v>0.2424</v>
      </c>
      <c r="L42">
        <v>0.8</v>
      </c>
      <c r="M42">
        <v>0</v>
      </c>
      <c r="N42" s="4">
        <v>7</v>
      </c>
      <c r="O42" s="4">
        <v>57</v>
      </c>
      <c r="P42" s="4">
        <v>64</v>
      </c>
      <c r="Q42" s="9" t="str">
        <f>CHOOSE(FinalData[[#This Row],[Season]],"Spring","Summer","Fall","Winter")</f>
        <v>Spring</v>
      </c>
      <c r="R42" s="9" t="str">
        <f>CHOOSE(FinalData[[#This Row],[Weathersituation]],"Clear","Mist","Light Rain","Heavy Rain")</f>
        <v>Mist</v>
      </c>
      <c r="S42" s="9" t="str">
        <f>TEXT(FinalData[[#This Row],[Date]],"mmm")</f>
        <v>Jan</v>
      </c>
    </row>
    <row r="43" spans="1:19" x14ac:dyDescent="0.3">
      <c r="A43">
        <v>652</v>
      </c>
      <c r="B43" s="1">
        <v>40573</v>
      </c>
      <c r="C43">
        <v>1</v>
      </c>
      <c r="D43">
        <v>0</v>
      </c>
      <c r="E43">
        <v>1</v>
      </c>
      <c r="F43">
        <v>11</v>
      </c>
      <c r="G43" t="b">
        <v>0</v>
      </c>
      <c r="H43">
        <v>0</v>
      </c>
      <c r="I43">
        <v>1</v>
      </c>
      <c r="J43">
        <v>0.22</v>
      </c>
      <c r="K43" s="6">
        <v>0.2727</v>
      </c>
      <c r="L43">
        <v>0.75</v>
      </c>
      <c r="M43">
        <v>0</v>
      </c>
      <c r="N43" s="4">
        <v>9</v>
      </c>
      <c r="O43" s="4">
        <v>50</v>
      </c>
      <c r="P43" s="4">
        <v>59</v>
      </c>
      <c r="Q43" s="9" t="str">
        <f>CHOOSE(FinalData[[#This Row],[Season]],"Spring","Summer","Fall","Winter")</f>
        <v>Spring</v>
      </c>
      <c r="R43" s="9" t="str">
        <f>CHOOSE(FinalData[[#This Row],[Weathersituation]],"Clear","Mist","Light Rain","Heavy Rain")</f>
        <v>Clear</v>
      </c>
      <c r="S43" s="9" t="str">
        <f>TEXT(FinalData[[#This Row],[Date]],"mmm")</f>
        <v>Jan</v>
      </c>
    </row>
    <row r="44" spans="1:19" x14ac:dyDescent="0.3">
      <c r="A44">
        <v>653</v>
      </c>
      <c r="B44" s="1">
        <v>40573</v>
      </c>
      <c r="C44">
        <v>1</v>
      </c>
      <c r="D44">
        <v>0</v>
      </c>
      <c r="E44">
        <v>1</v>
      </c>
      <c r="F44">
        <v>12</v>
      </c>
      <c r="G44" t="b">
        <v>0</v>
      </c>
      <c r="H44">
        <v>0</v>
      </c>
      <c r="I44">
        <v>1</v>
      </c>
      <c r="J44">
        <v>0.3</v>
      </c>
      <c r="K44" s="6">
        <v>0.31819999999999998</v>
      </c>
      <c r="L44">
        <v>0.52</v>
      </c>
      <c r="M44">
        <v>0.1045</v>
      </c>
      <c r="N44" s="4">
        <v>10</v>
      </c>
      <c r="O44" s="4">
        <v>87</v>
      </c>
      <c r="P44" s="4">
        <v>97</v>
      </c>
      <c r="Q44" s="9" t="str">
        <f>CHOOSE(FinalData[[#This Row],[Season]],"Spring","Summer","Fall","Winter")</f>
        <v>Spring</v>
      </c>
      <c r="R44" s="9" t="str">
        <f>CHOOSE(FinalData[[#This Row],[Weathersituation]],"Clear","Mist","Light Rain","Heavy Rain")</f>
        <v>Clear</v>
      </c>
      <c r="S44" s="9" t="str">
        <f>TEXT(FinalData[[#This Row],[Date]],"mmm")</f>
        <v>Jan</v>
      </c>
    </row>
    <row r="45" spans="1:19" x14ac:dyDescent="0.3">
      <c r="A45">
        <v>654</v>
      </c>
      <c r="B45" s="1">
        <v>40573</v>
      </c>
      <c r="C45">
        <v>1</v>
      </c>
      <c r="D45">
        <v>0</v>
      </c>
      <c r="E45">
        <v>1</v>
      </c>
      <c r="F45">
        <v>13</v>
      </c>
      <c r="G45" t="b">
        <v>0</v>
      </c>
      <c r="H45">
        <v>0</v>
      </c>
      <c r="I45">
        <v>1</v>
      </c>
      <c r="J45">
        <v>0.28000000000000003</v>
      </c>
      <c r="K45" s="6">
        <v>0.28789999999999999</v>
      </c>
      <c r="L45">
        <v>0.61</v>
      </c>
      <c r="M45">
        <v>0.1045</v>
      </c>
      <c r="N45" s="4">
        <v>13</v>
      </c>
      <c r="O45" s="4">
        <v>71</v>
      </c>
      <c r="P45" s="4">
        <v>84</v>
      </c>
      <c r="Q45" s="9" t="str">
        <f>CHOOSE(FinalData[[#This Row],[Season]],"Spring","Summer","Fall","Winter")</f>
        <v>Spring</v>
      </c>
      <c r="R45" s="9" t="str">
        <f>CHOOSE(FinalData[[#This Row],[Weathersituation]],"Clear","Mist","Light Rain","Heavy Rain")</f>
        <v>Clear</v>
      </c>
      <c r="S45" s="9" t="str">
        <f>TEXT(FinalData[[#This Row],[Date]],"mmm")</f>
        <v>Jan</v>
      </c>
    </row>
    <row r="46" spans="1:19" x14ac:dyDescent="0.3">
      <c r="A46">
        <v>655</v>
      </c>
      <c r="B46" s="1">
        <v>40573</v>
      </c>
      <c r="C46">
        <v>1</v>
      </c>
      <c r="D46">
        <v>0</v>
      </c>
      <c r="E46">
        <v>1</v>
      </c>
      <c r="F46">
        <v>14</v>
      </c>
      <c r="G46" t="b">
        <v>0</v>
      </c>
      <c r="H46">
        <v>0</v>
      </c>
      <c r="I46">
        <v>1</v>
      </c>
      <c r="J46">
        <v>0.28000000000000003</v>
      </c>
      <c r="K46" s="6">
        <v>0.30299999999999999</v>
      </c>
      <c r="L46">
        <v>0.61</v>
      </c>
      <c r="M46">
        <v>8.9599999999999999E-2</v>
      </c>
      <c r="N46" s="4">
        <v>18</v>
      </c>
      <c r="O46" s="4">
        <v>104</v>
      </c>
      <c r="P46" s="4">
        <v>122</v>
      </c>
      <c r="Q46" s="9" t="str">
        <f>CHOOSE(FinalData[[#This Row],[Season]],"Spring","Summer","Fall","Winter")</f>
        <v>Spring</v>
      </c>
      <c r="R46" s="9" t="str">
        <f>CHOOSE(FinalData[[#This Row],[Weathersituation]],"Clear","Mist","Light Rain","Heavy Rain")</f>
        <v>Clear</v>
      </c>
      <c r="S46" s="9" t="str">
        <f>TEXT(FinalData[[#This Row],[Date]],"mmm")</f>
        <v>Jan</v>
      </c>
    </row>
    <row r="47" spans="1:19" x14ac:dyDescent="0.3">
      <c r="A47">
        <v>656</v>
      </c>
      <c r="B47" s="1">
        <v>40573</v>
      </c>
      <c r="C47">
        <v>1</v>
      </c>
      <c r="D47">
        <v>0</v>
      </c>
      <c r="E47">
        <v>1</v>
      </c>
      <c r="F47">
        <v>15</v>
      </c>
      <c r="G47" t="b">
        <v>0</v>
      </c>
      <c r="H47">
        <v>0</v>
      </c>
      <c r="I47">
        <v>1</v>
      </c>
      <c r="J47">
        <v>0.3</v>
      </c>
      <c r="K47" s="6">
        <v>0.33329999999999999</v>
      </c>
      <c r="L47">
        <v>0.56000000000000005</v>
      </c>
      <c r="M47">
        <v>0</v>
      </c>
      <c r="N47" s="4">
        <v>14</v>
      </c>
      <c r="O47" s="4">
        <v>95</v>
      </c>
      <c r="P47" s="4">
        <v>109</v>
      </c>
      <c r="Q47" s="9" t="str">
        <f>CHOOSE(FinalData[[#This Row],[Season]],"Spring","Summer","Fall","Winter")</f>
        <v>Spring</v>
      </c>
      <c r="R47" s="9" t="str">
        <f>CHOOSE(FinalData[[#This Row],[Weathersituation]],"Clear","Mist","Light Rain","Heavy Rain")</f>
        <v>Clear</v>
      </c>
      <c r="S47" s="9" t="str">
        <f>TEXT(FinalData[[#This Row],[Date]],"mmm")</f>
        <v>Jan</v>
      </c>
    </row>
    <row r="48" spans="1:19" x14ac:dyDescent="0.3">
      <c r="A48">
        <v>657</v>
      </c>
      <c r="B48" s="1">
        <v>40573</v>
      </c>
      <c r="C48">
        <v>1</v>
      </c>
      <c r="D48">
        <v>0</v>
      </c>
      <c r="E48">
        <v>1</v>
      </c>
      <c r="F48">
        <v>16</v>
      </c>
      <c r="G48" t="b">
        <v>0</v>
      </c>
      <c r="H48">
        <v>0</v>
      </c>
      <c r="I48">
        <v>1</v>
      </c>
      <c r="J48">
        <v>0.3</v>
      </c>
      <c r="K48" s="6">
        <v>0.33329999999999999</v>
      </c>
      <c r="L48">
        <v>0.56000000000000005</v>
      </c>
      <c r="M48">
        <v>0</v>
      </c>
      <c r="N48" s="4">
        <v>19</v>
      </c>
      <c r="O48" s="4">
        <v>104</v>
      </c>
      <c r="P48" s="4">
        <v>123</v>
      </c>
      <c r="Q48" s="9" t="str">
        <f>CHOOSE(FinalData[[#This Row],[Season]],"Spring","Summer","Fall","Winter")</f>
        <v>Spring</v>
      </c>
      <c r="R48" s="9" t="str">
        <f>CHOOSE(FinalData[[#This Row],[Weathersituation]],"Clear","Mist","Light Rain","Heavy Rain")</f>
        <v>Clear</v>
      </c>
      <c r="S48" s="9" t="str">
        <f>TEXT(FinalData[[#This Row],[Date]],"mmm")</f>
        <v>Jan</v>
      </c>
    </row>
    <row r="49" spans="1:19" x14ac:dyDescent="0.3">
      <c r="A49">
        <v>658</v>
      </c>
      <c r="B49" s="1">
        <v>40573</v>
      </c>
      <c r="C49">
        <v>1</v>
      </c>
      <c r="D49">
        <v>0</v>
      </c>
      <c r="E49">
        <v>1</v>
      </c>
      <c r="F49">
        <v>17</v>
      </c>
      <c r="G49" t="b">
        <v>0</v>
      </c>
      <c r="H49">
        <v>0</v>
      </c>
      <c r="I49">
        <v>1</v>
      </c>
      <c r="J49">
        <v>0.3</v>
      </c>
      <c r="K49" s="6">
        <v>0.28789999999999999</v>
      </c>
      <c r="L49">
        <v>0.56000000000000005</v>
      </c>
      <c r="M49">
        <v>0.19400000000000001</v>
      </c>
      <c r="N49" s="4">
        <v>6</v>
      </c>
      <c r="O49" s="4">
        <v>71</v>
      </c>
      <c r="P49" s="4">
        <v>77</v>
      </c>
      <c r="Q49" s="9" t="str">
        <f>CHOOSE(FinalData[[#This Row],[Season]],"Spring","Summer","Fall","Winter")</f>
        <v>Spring</v>
      </c>
      <c r="R49" s="9" t="str">
        <f>CHOOSE(FinalData[[#This Row],[Weathersituation]],"Clear","Mist","Light Rain","Heavy Rain")</f>
        <v>Clear</v>
      </c>
      <c r="S49" s="9" t="str">
        <f>TEXT(FinalData[[#This Row],[Date]],"mmm")</f>
        <v>Jan</v>
      </c>
    </row>
    <row r="50" spans="1:19" x14ac:dyDescent="0.3">
      <c r="A50">
        <v>659</v>
      </c>
      <c r="B50" s="1">
        <v>40573</v>
      </c>
      <c r="C50">
        <v>1</v>
      </c>
      <c r="D50">
        <v>0</v>
      </c>
      <c r="E50">
        <v>1</v>
      </c>
      <c r="F50">
        <v>18</v>
      </c>
      <c r="G50" t="b">
        <v>0</v>
      </c>
      <c r="H50">
        <v>0</v>
      </c>
      <c r="I50">
        <v>1</v>
      </c>
      <c r="J50">
        <v>0.26</v>
      </c>
      <c r="K50" s="6">
        <v>0.2576</v>
      </c>
      <c r="L50">
        <v>0.65</v>
      </c>
      <c r="M50">
        <v>0.16420000000000001</v>
      </c>
      <c r="N50" s="4">
        <v>8</v>
      </c>
      <c r="O50" s="4">
        <v>57</v>
      </c>
      <c r="P50" s="4">
        <v>65</v>
      </c>
      <c r="Q50" s="9" t="str">
        <f>CHOOSE(FinalData[[#This Row],[Season]],"Spring","Summer","Fall","Winter")</f>
        <v>Spring</v>
      </c>
      <c r="R50" s="9" t="str">
        <f>CHOOSE(FinalData[[#This Row],[Weathersituation]],"Clear","Mist","Light Rain","Heavy Rain")</f>
        <v>Clear</v>
      </c>
      <c r="S50" s="9" t="str">
        <f>TEXT(FinalData[[#This Row],[Date]],"mmm")</f>
        <v>Jan</v>
      </c>
    </row>
    <row r="51" spans="1:19" x14ac:dyDescent="0.3">
      <c r="A51">
        <v>660</v>
      </c>
      <c r="B51" s="1">
        <v>40573</v>
      </c>
      <c r="C51">
        <v>1</v>
      </c>
      <c r="D51">
        <v>0</v>
      </c>
      <c r="E51">
        <v>1</v>
      </c>
      <c r="F51">
        <v>19</v>
      </c>
      <c r="G51" t="b">
        <v>0</v>
      </c>
      <c r="H51">
        <v>0</v>
      </c>
      <c r="I51">
        <v>1</v>
      </c>
      <c r="J51">
        <v>0.26</v>
      </c>
      <c r="K51" s="6">
        <v>0.2576</v>
      </c>
      <c r="L51">
        <v>0.65</v>
      </c>
      <c r="M51">
        <v>0.19400000000000001</v>
      </c>
      <c r="N51" s="4">
        <v>9</v>
      </c>
      <c r="O51" s="4">
        <v>46</v>
      </c>
      <c r="P51" s="4">
        <v>55</v>
      </c>
      <c r="Q51" s="9" t="str">
        <f>CHOOSE(FinalData[[#This Row],[Season]],"Spring","Summer","Fall","Winter")</f>
        <v>Spring</v>
      </c>
      <c r="R51" s="9" t="str">
        <f>CHOOSE(FinalData[[#This Row],[Weathersituation]],"Clear","Mist","Light Rain","Heavy Rain")</f>
        <v>Clear</v>
      </c>
      <c r="S51" s="9" t="str">
        <f>TEXT(FinalData[[#This Row],[Date]],"mmm")</f>
        <v>Jan</v>
      </c>
    </row>
    <row r="52" spans="1:19" x14ac:dyDescent="0.3">
      <c r="A52">
        <v>661</v>
      </c>
      <c r="B52" s="1">
        <v>40573</v>
      </c>
      <c r="C52">
        <v>1</v>
      </c>
      <c r="D52">
        <v>0</v>
      </c>
      <c r="E52">
        <v>1</v>
      </c>
      <c r="F52">
        <v>20</v>
      </c>
      <c r="G52" t="b">
        <v>0</v>
      </c>
      <c r="H52">
        <v>0</v>
      </c>
      <c r="I52">
        <v>2</v>
      </c>
      <c r="J52">
        <v>0.26</v>
      </c>
      <c r="K52" s="6">
        <v>0.2727</v>
      </c>
      <c r="L52">
        <v>0.65</v>
      </c>
      <c r="M52">
        <v>0.1045</v>
      </c>
      <c r="N52" s="4">
        <v>3</v>
      </c>
      <c r="O52" s="4">
        <v>30</v>
      </c>
      <c r="P52" s="4">
        <v>33</v>
      </c>
      <c r="Q52" s="9" t="str">
        <f>CHOOSE(FinalData[[#This Row],[Season]],"Spring","Summer","Fall","Winter")</f>
        <v>Spring</v>
      </c>
      <c r="R52" s="9" t="str">
        <f>CHOOSE(FinalData[[#This Row],[Weathersituation]],"Clear","Mist","Light Rain","Heavy Rain")</f>
        <v>Mist</v>
      </c>
      <c r="S52" s="9" t="str">
        <f>TEXT(FinalData[[#This Row],[Date]],"mmm")</f>
        <v>Jan</v>
      </c>
    </row>
    <row r="53" spans="1:19" x14ac:dyDescent="0.3">
      <c r="A53">
        <v>662</v>
      </c>
      <c r="B53" s="1">
        <v>40573</v>
      </c>
      <c r="C53">
        <v>1</v>
      </c>
      <c r="D53">
        <v>0</v>
      </c>
      <c r="E53">
        <v>1</v>
      </c>
      <c r="F53">
        <v>21</v>
      </c>
      <c r="G53" t="b">
        <v>0</v>
      </c>
      <c r="H53">
        <v>0</v>
      </c>
      <c r="I53">
        <v>2</v>
      </c>
      <c r="J53">
        <v>0.24</v>
      </c>
      <c r="K53" s="6">
        <v>0.2424</v>
      </c>
      <c r="L53">
        <v>0.7</v>
      </c>
      <c r="M53">
        <v>0.16420000000000001</v>
      </c>
      <c r="N53" s="4">
        <v>3</v>
      </c>
      <c r="O53" s="4">
        <v>25</v>
      </c>
      <c r="P53" s="4">
        <v>28</v>
      </c>
      <c r="Q53" s="9" t="str">
        <f>CHOOSE(FinalData[[#This Row],[Season]],"Spring","Summer","Fall","Winter")</f>
        <v>Spring</v>
      </c>
      <c r="R53" s="9" t="str">
        <f>CHOOSE(FinalData[[#This Row],[Weathersituation]],"Clear","Mist","Light Rain","Heavy Rain")</f>
        <v>Mist</v>
      </c>
      <c r="S53" s="9" t="str">
        <f>TEXT(FinalData[[#This Row],[Date]],"mmm")</f>
        <v>Jan</v>
      </c>
    </row>
    <row r="54" spans="1:19" x14ac:dyDescent="0.3">
      <c r="A54">
        <v>663</v>
      </c>
      <c r="B54" s="1">
        <v>40573</v>
      </c>
      <c r="C54">
        <v>1</v>
      </c>
      <c r="D54">
        <v>0</v>
      </c>
      <c r="E54">
        <v>1</v>
      </c>
      <c r="F54">
        <v>22</v>
      </c>
      <c r="G54" t="b">
        <v>0</v>
      </c>
      <c r="H54">
        <v>0</v>
      </c>
      <c r="I54">
        <v>2</v>
      </c>
      <c r="J54">
        <v>0.24</v>
      </c>
      <c r="K54" s="6">
        <v>0.2273</v>
      </c>
      <c r="L54">
        <v>0.7</v>
      </c>
      <c r="M54">
        <v>0.19400000000000001</v>
      </c>
      <c r="N54" s="4">
        <v>2</v>
      </c>
      <c r="O54" s="4">
        <v>19</v>
      </c>
      <c r="P54" s="4">
        <v>21</v>
      </c>
      <c r="Q54" s="9" t="str">
        <f>CHOOSE(FinalData[[#This Row],[Season]],"Spring","Summer","Fall","Winter")</f>
        <v>Spring</v>
      </c>
      <c r="R54" s="9" t="str">
        <f>CHOOSE(FinalData[[#This Row],[Weathersituation]],"Clear","Mist","Light Rain","Heavy Rain")</f>
        <v>Mist</v>
      </c>
      <c r="S54" s="9" t="str">
        <f>TEXT(FinalData[[#This Row],[Date]],"mmm")</f>
        <v>Jan</v>
      </c>
    </row>
    <row r="55" spans="1:19" x14ac:dyDescent="0.3">
      <c r="A55">
        <v>664</v>
      </c>
      <c r="B55" s="1">
        <v>40573</v>
      </c>
      <c r="C55">
        <v>1</v>
      </c>
      <c r="D55">
        <v>0</v>
      </c>
      <c r="E55">
        <v>1</v>
      </c>
      <c r="F55">
        <v>23</v>
      </c>
      <c r="G55" t="b">
        <v>0</v>
      </c>
      <c r="H55">
        <v>0</v>
      </c>
      <c r="I55">
        <v>2</v>
      </c>
      <c r="J55">
        <v>0.24</v>
      </c>
      <c r="K55" s="6">
        <v>0.21210000000000001</v>
      </c>
      <c r="L55">
        <v>0.65</v>
      </c>
      <c r="M55">
        <v>0.28360000000000002</v>
      </c>
      <c r="N55" s="4">
        <v>5</v>
      </c>
      <c r="O55" s="4">
        <v>16</v>
      </c>
      <c r="P55" s="4">
        <v>21</v>
      </c>
      <c r="Q55" s="9" t="str">
        <f>CHOOSE(FinalData[[#This Row],[Season]],"Spring","Summer","Fall","Winter")</f>
        <v>Spring</v>
      </c>
      <c r="R55" s="9" t="str">
        <f>CHOOSE(FinalData[[#This Row],[Weathersituation]],"Clear","Mist","Light Rain","Heavy Rain")</f>
        <v>Mist</v>
      </c>
      <c r="S55" s="9" t="str">
        <f>TEXT(FinalData[[#This Row],[Date]],"mmm")</f>
        <v>Jan</v>
      </c>
    </row>
    <row r="56" spans="1:19" x14ac:dyDescent="0.3">
      <c r="A56">
        <v>665</v>
      </c>
      <c r="B56" s="1">
        <v>40574</v>
      </c>
      <c r="C56">
        <v>1</v>
      </c>
      <c r="D56">
        <v>0</v>
      </c>
      <c r="E56">
        <v>1</v>
      </c>
      <c r="F56">
        <v>0</v>
      </c>
      <c r="G56" t="b">
        <v>0</v>
      </c>
      <c r="H56">
        <v>1</v>
      </c>
      <c r="I56">
        <v>2</v>
      </c>
      <c r="J56">
        <v>0.24</v>
      </c>
      <c r="K56" s="6">
        <v>0.2273</v>
      </c>
      <c r="L56">
        <v>0.65</v>
      </c>
      <c r="M56">
        <v>0.22389999999999999</v>
      </c>
      <c r="N56" s="4">
        <v>1</v>
      </c>
      <c r="O56" s="4">
        <v>6</v>
      </c>
      <c r="P56" s="4">
        <v>7</v>
      </c>
      <c r="Q56" s="9" t="str">
        <f>CHOOSE(FinalData[[#This Row],[Season]],"Spring","Summer","Fall","Winter")</f>
        <v>Spring</v>
      </c>
      <c r="R56" s="9" t="str">
        <f>CHOOSE(FinalData[[#This Row],[Weathersituation]],"Clear","Mist","Light Rain","Heavy Rain")</f>
        <v>Mist</v>
      </c>
      <c r="S56" s="9" t="str">
        <f>TEXT(FinalData[[#This Row],[Date]],"mmm")</f>
        <v>Jan</v>
      </c>
    </row>
    <row r="57" spans="1:19" x14ac:dyDescent="0.3">
      <c r="A57">
        <v>666</v>
      </c>
      <c r="B57" s="1">
        <v>40574</v>
      </c>
      <c r="C57">
        <v>1</v>
      </c>
      <c r="D57">
        <v>0</v>
      </c>
      <c r="E57">
        <v>1</v>
      </c>
      <c r="F57">
        <v>1</v>
      </c>
      <c r="G57" t="b">
        <v>0</v>
      </c>
      <c r="H57">
        <v>1</v>
      </c>
      <c r="I57">
        <v>1</v>
      </c>
      <c r="J57">
        <v>0.22</v>
      </c>
      <c r="K57" s="6">
        <v>0.21210000000000001</v>
      </c>
      <c r="L57">
        <v>0.64</v>
      </c>
      <c r="M57">
        <v>0.25369999999999998</v>
      </c>
      <c r="N57" s="4">
        <v>2</v>
      </c>
      <c r="O57" s="4">
        <v>5</v>
      </c>
      <c r="P57" s="4">
        <v>7</v>
      </c>
      <c r="Q57" s="9" t="str">
        <f>CHOOSE(FinalData[[#This Row],[Season]],"Spring","Summer","Fall","Winter")</f>
        <v>Spring</v>
      </c>
      <c r="R57" s="9" t="str">
        <f>CHOOSE(FinalData[[#This Row],[Weathersituation]],"Clear","Mist","Light Rain","Heavy Rain")</f>
        <v>Clear</v>
      </c>
      <c r="S57" s="9" t="str">
        <f>TEXT(FinalData[[#This Row],[Date]],"mmm")</f>
        <v>Jan</v>
      </c>
    </row>
    <row r="58" spans="1:19" x14ac:dyDescent="0.3">
      <c r="A58">
        <v>667</v>
      </c>
      <c r="B58" s="1">
        <v>40574</v>
      </c>
      <c r="C58">
        <v>1</v>
      </c>
      <c r="D58">
        <v>0</v>
      </c>
      <c r="E58">
        <v>1</v>
      </c>
      <c r="F58">
        <v>2</v>
      </c>
      <c r="G58" t="b">
        <v>0</v>
      </c>
      <c r="H58">
        <v>1</v>
      </c>
      <c r="I58">
        <v>1</v>
      </c>
      <c r="J58">
        <v>0.22</v>
      </c>
      <c r="K58" s="6">
        <v>0.2273</v>
      </c>
      <c r="L58">
        <v>0.64</v>
      </c>
      <c r="M58">
        <v>0.19400000000000001</v>
      </c>
      <c r="N58" s="4">
        <v>0</v>
      </c>
      <c r="O58" s="4">
        <v>1</v>
      </c>
      <c r="P58" s="4">
        <v>1</v>
      </c>
      <c r="Q58" s="9" t="str">
        <f>CHOOSE(FinalData[[#This Row],[Season]],"Spring","Summer","Fall","Winter")</f>
        <v>Spring</v>
      </c>
      <c r="R58" s="9" t="str">
        <f>CHOOSE(FinalData[[#This Row],[Weathersituation]],"Clear","Mist","Light Rain","Heavy Rain")</f>
        <v>Clear</v>
      </c>
      <c r="S58" s="9" t="str">
        <f>TEXT(FinalData[[#This Row],[Date]],"mmm")</f>
        <v>Jan</v>
      </c>
    </row>
    <row r="59" spans="1:19" x14ac:dyDescent="0.3">
      <c r="A59">
        <v>668</v>
      </c>
      <c r="B59" s="1">
        <v>40574</v>
      </c>
      <c r="C59">
        <v>1</v>
      </c>
      <c r="D59">
        <v>0</v>
      </c>
      <c r="E59">
        <v>1</v>
      </c>
      <c r="F59">
        <v>3</v>
      </c>
      <c r="G59" t="b">
        <v>0</v>
      </c>
      <c r="H59">
        <v>1</v>
      </c>
      <c r="I59">
        <v>1</v>
      </c>
      <c r="J59">
        <v>0.22</v>
      </c>
      <c r="K59" s="6">
        <v>0.2273</v>
      </c>
      <c r="L59">
        <v>0.64</v>
      </c>
      <c r="M59">
        <v>0.19400000000000001</v>
      </c>
      <c r="N59" s="4">
        <v>0</v>
      </c>
      <c r="O59" s="4">
        <v>2</v>
      </c>
      <c r="P59" s="4">
        <v>2</v>
      </c>
      <c r="Q59" s="9" t="str">
        <f>CHOOSE(FinalData[[#This Row],[Season]],"Spring","Summer","Fall","Winter")</f>
        <v>Spring</v>
      </c>
      <c r="R59" s="9" t="str">
        <f>CHOOSE(FinalData[[#This Row],[Weathersituation]],"Clear","Mist","Light Rain","Heavy Rain")</f>
        <v>Clear</v>
      </c>
      <c r="S59" s="9" t="str">
        <f>TEXT(FinalData[[#This Row],[Date]],"mmm")</f>
        <v>Jan</v>
      </c>
    </row>
    <row r="60" spans="1:19" x14ac:dyDescent="0.3">
      <c r="A60">
        <v>669</v>
      </c>
      <c r="B60" s="1">
        <v>40574</v>
      </c>
      <c r="C60">
        <v>1</v>
      </c>
      <c r="D60">
        <v>0</v>
      </c>
      <c r="E60">
        <v>1</v>
      </c>
      <c r="F60">
        <v>4</v>
      </c>
      <c r="G60" t="b">
        <v>0</v>
      </c>
      <c r="H60">
        <v>1</v>
      </c>
      <c r="I60">
        <v>1</v>
      </c>
      <c r="J60">
        <v>0.2</v>
      </c>
      <c r="K60" s="6">
        <v>0.19700000000000001</v>
      </c>
      <c r="L60">
        <v>0.59</v>
      </c>
      <c r="M60">
        <v>0.22389999999999999</v>
      </c>
      <c r="N60" s="4">
        <v>0</v>
      </c>
      <c r="O60" s="4">
        <v>2</v>
      </c>
      <c r="P60" s="4">
        <v>2</v>
      </c>
      <c r="Q60" s="9" t="str">
        <f>CHOOSE(FinalData[[#This Row],[Season]],"Spring","Summer","Fall","Winter")</f>
        <v>Spring</v>
      </c>
      <c r="R60" s="9" t="str">
        <f>CHOOSE(FinalData[[#This Row],[Weathersituation]],"Clear","Mist","Light Rain","Heavy Rain")</f>
        <v>Clear</v>
      </c>
      <c r="S60" s="9" t="str">
        <f>TEXT(FinalData[[#This Row],[Date]],"mmm")</f>
        <v>Jan</v>
      </c>
    </row>
    <row r="61" spans="1:19" x14ac:dyDescent="0.3">
      <c r="A61">
        <v>670</v>
      </c>
      <c r="B61" s="1">
        <v>40574</v>
      </c>
      <c r="C61">
        <v>1</v>
      </c>
      <c r="D61">
        <v>0</v>
      </c>
      <c r="E61">
        <v>1</v>
      </c>
      <c r="F61">
        <v>5</v>
      </c>
      <c r="G61" t="b">
        <v>0</v>
      </c>
      <c r="H61">
        <v>1</v>
      </c>
      <c r="I61">
        <v>1</v>
      </c>
      <c r="J61">
        <v>0.18</v>
      </c>
      <c r="K61" s="6">
        <v>0.16669999999999999</v>
      </c>
      <c r="L61">
        <v>0.64</v>
      </c>
      <c r="M61">
        <v>0.28360000000000002</v>
      </c>
      <c r="N61" s="4">
        <v>0</v>
      </c>
      <c r="O61" s="4">
        <v>8</v>
      </c>
      <c r="P61" s="4">
        <v>8</v>
      </c>
      <c r="Q61" s="9" t="str">
        <f>CHOOSE(FinalData[[#This Row],[Season]],"Spring","Summer","Fall","Winter")</f>
        <v>Spring</v>
      </c>
      <c r="R61" s="9" t="str">
        <f>CHOOSE(FinalData[[#This Row],[Weathersituation]],"Clear","Mist","Light Rain","Heavy Rain")</f>
        <v>Clear</v>
      </c>
      <c r="S61" s="9" t="str">
        <f>TEXT(FinalData[[#This Row],[Date]],"mmm")</f>
        <v>Jan</v>
      </c>
    </row>
    <row r="62" spans="1:19" x14ac:dyDescent="0.3">
      <c r="A62">
        <v>671</v>
      </c>
      <c r="B62" s="1">
        <v>40574</v>
      </c>
      <c r="C62">
        <v>1</v>
      </c>
      <c r="D62">
        <v>0</v>
      </c>
      <c r="E62">
        <v>1</v>
      </c>
      <c r="F62">
        <v>6</v>
      </c>
      <c r="G62" t="b">
        <v>0</v>
      </c>
      <c r="H62">
        <v>1</v>
      </c>
      <c r="I62">
        <v>1</v>
      </c>
      <c r="J62">
        <v>0.16</v>
      </c>
      <c r="K62" s="6">
        <v>0.13639999999999999</v>
      </c>
      <c r="L62">
        <v>0.69</v>
      </c>
      <c r="M62">
        <v>0.32840000000000003</v>
      </c>
      <c r="N62" s="4">
        <v>0</v>
      </c>
      <c r="O62" s="4">
        <v>37</v>
      </c>
      <c r="P62" s="4">
        <v>37</v>
      </c>
      <c r="Q62" s="9" t="str">
        <f>CHOOSE(FinalData[[#This Row],[Season]],"Spring","Summer","Fall","Winter")</f>
        <v>Spring</v>
      </c>
      <c r="R62" s="9" t="str">
        <f>CHOOSE(FinalData[[#This Row],[Weathersituation]],"Clear","Mist","Light Rain","Heavy Rain")</f>
        <v>Clear</v>
      </c>
      <c r="S62" s="9" t="str">
        <f>TEXT(FinalData[[#This Row],[Date]],"mmm")</f>
        <v>Jan</v>
      </c>
    </row>
    <row r="63" spans="1:19" x14ac:dyDescent="0.3">
      <c r="A63">
        <v>672</v>
      </c>
      <c r="B63" s="1">
        <v>40574</v>
      </c>
      <c r="C63">
        <v>1</v>
      </c>
      <c r="D63">
        <v>0</v>
      </c>
      <c r="E63">
        <v>1</v>
      </c>
      <c r="F63">
        <v>7</v>
      </c>
      <c r="G63" t="b">
        <v>0</v>
      </c>
      <c r="H63">
        <v>1</v>
      </c>
      <c r="I63">
        <v>2</v>
      </c>
      <c r="J63">
        <v>0.16</v>
      </c>
      <c r="K63" s="6">
        <v>0.13639999999999999</v>
      </c>
      <c r="L63">
        <v>0.64</v>
      </c>
      <c r="M63">
        <v>0.28360000000000002</v>
      </c>
      <c r="N63" s="4">
        <v>1</v>
      </c>
      <c r="O63" s="4">
        <v>71</v>
      </c>
      <c r="P63" s="4">
        <v>72</v>
      </c>
      <c r="Q63" s="9" t="str">
        <f>CHOOSE(FinalData[[#This Row],[Season]],"Spring","Summer","Fall","Winter")</f>
        <v>Spring</v>
      </c>
      <c r="R63" s="9" t="str">
        <f>CHOOSE(FinalData[[#This Row],[Weathersituation]],"Clear","Mist","Light Rain","Heavy Rain")</f>
        <v>Mist</v>
      </c>
      <c r="S63" s="9" t="str">
        <f>TEXT(FinalData[[#This Row],[Date]],"mmm")</f>
        <v>Jan</v>
      </c>
    </row>
    <row r="64" spans="1:19" x14ac:dyDescent="0.3">
      <c r="A64">
        <v>673</v>
      </c>
      <c r="B64" s="1">
        <v>40574</v>
      </c>
      <c r="C64">
        <v>1</v>
      </c>
      <c r="D64">
        <v>0</v>
      </c>
      <c r="E64">
        <v>1</v>
      </c>
      <c r="F64">
        <v>8</v>
      </c>
      <c r="G64" t="b">
        <v>0</v>
      </c>
      <c r="H64">
        <v>1</v>
      </c>
      <c r="I64">
        <v>2</v>
      </c>
      <c r="J64">
        <v>0.16</v>
      </c>
      <c r="K64" s="6">
        <v>0.13639999999999999</v>
      </c>
      <c r="L64">
        <v>0.59</v>
      </c>
      <c r="M64">
        <v>0.28360000000000002</v>
      </c>
      <c r="N64" s="4">
        <v>3</v>
      </c>
      <c r="O64" s="4">
        <v>182</v>
      </c>
      <c r="P64" s="4">
        <v>185</v>
      </c>
      <c r="Q64" s="9" t="str">
        <f>CHOOSE(FinalData[[#This Row],[Season]],"Spring","Summer","Fall","Winter")</f>
        <v>Spring</v>
      </c>
      <c r="R64" s="9" t="str">
        <f>CHOOSE(FinalData[[#This Row],[Weathersituation]],"Clear","Mist","Light Rain","Heavy Rain")</f>
        <v>Mist</v>
      </c>
      <c r="S64" s="9" t="str">
        <f>TEXT(FinalData[[#This Row],[Date]],"mmm")</f>
        <v>Jan</v>
      </c>
    </row>
    <row r="65" spans="1:19" x14ac:dyDescent="0.3">
      <c r="A65">
        <v>674</v>
      </c>
      <c r="B65" s="1">
        <v>40574</v>
      </c>
      <c r="C65">
        <v>1</v>
      </c>
      <c r="D65">
        <v>0</v>
      </c>
      <c r="E65">
        <v>1</v>
      </c>
      <c r="F65">
        <v>9</v>
      </c>
      <c r="G65" t="b">
        <v>0</v>
      </c>
      <c r="H65">
        <v>1</v>
      </c>
      <c r="I65">
        <v>2</v>
      </c>
      <c r="J65">
        <v>0.16</v>
      </c>
      <c r="K65" s="6">
        <v>0.13639999999999999</v>
      </c>
      <c r="L65">
        <v>0.59</v>
      </c>
      <c r="M65">
        <v>0.29849999999999999</v>
      </c>
      <c r="N65" s="4">
        <v>0</v>
      </c>
      <c r="O65" s="4">
        <v>112</v>
      </c>
      <c r="P65" s="4">
        <v>112</v>
      </c>
      <c r="Q65" s="9" t="str">
        <f>CHOOSE(FinalData[[#This Row],[Season]],"Spring","Summer","Fall","Winter")</f>
        <v>Spring</v>
      </c>
      <c r="R65" s="9" t="str">
        <f>CHOOSE(FinalData[[#This Row],[Weathersituation]],"Clear","Mist","Light Rain","Heavy Rain")</f>
        <v>Mist</v>
      </c>
      <c r="S65" s="9" t="str">
        <f>TEXT(FinalData[[#This Row],[Date]],"mmm")</f>
        <v>Jan</v>
      </c>
    </row>
    <row r="66" spans="1:19" x14ac:dyDescent="0.3">
      <c r="A66">
        <v>675</v>
      </c>
      <c r="B66" s="1">
        <v>40574</v>
      </c>
      <c r="C66">
        <v>1</v>
      </c>
      <c r="D66">
        <v>0</v>
      </c>
      <c r="E66">
        <v>1</v>
      </c>
      <c r="F66">
        <v>10</v>
      </c>
      <c r="G66" t="b">
        <v>0</v>
      </c>
      <c r="H66">
        <v>1</v>
      </c>
      <c r="I66">
        <v>2</v>
      </c>
      <c r="J66">
        <v>0.16</v>
      </c>
      <c r="K66" s="6">
        <v>0.1515</v>
      </c>
      <c r="L66">
        <v>0.59</v>
      </c>
      <c r="M66">
        <v>0.19400000000000001</v>
      </c>
      <c r="N66" s="4">
        <v>1</v>
      </c>
      <c r="O66" s="4">
        <v>68</v>
      </c>
      <c r="P66" s="4">
        <v>69</v>
      </c>
      <c r="Q66" s="9" t="str">
        <f>CHOOSE(FinalData[[#This Row],[Season]],"Spring","Summer","Fall","Winter")</f>
        <v>Spring</v>
      </c>
      <c r="R66" s="9" t="str">
        <f>CHOOSE(FinalData[[#This Row],[Weathersituation]],"Clear","Mist","Light Rain","Heavy Rain")</f>
        <v>Mist</v>
      </c>
      <c r="S66" s="9" t="str">
        <f>TEXT(FinalData[[#This Row],[Date]],"mmm")</f>
        <v>Jan</v>
      </c>
    </row>
    <row r="67" spans="1:19" x14ac:dyDescent="0.3">
      <c r="A67">
        <v>676</v>
      </c>
      <c r="B67" s="1">
        <v>40574</v>
      </c>
      <c r="C67">
        <v>1</v>
      </c>
      <c r="D67">
        <v>0</v>
      </c>
      <c r="E67">
        <v>1</v>
      </c>
      <c r="F67">
        <v>11</v>
      </c>
      <c r="G67" t="b">
        <v>0</v>
      </c>
      <c r="H67">
        <v>1</v>
      </c>
      <c r="I67">
        <v>2</v>
      </c>
      <c r="J67">
        <v>0.16</v>
      </c>
      <c r="K67" s="6">
        <v>0.1515</v>
      </c>
      <c r="L67">
        <v>0.59</v>
      </c>
      <c r="M67">
        <v>0.19400000000000001</v>
      </c>
      <c r="N67" s="4">
        <v>2</v>
      </c>
      <c r="O67" s="4">
        <v>46</v>
      </c>
      <c r="P67" s="4">
        <v>48</v>
      </c>
      <c r="Q67" s="9" t="str">
        <f>CHOOSE(FinalData[[#This Row],[Season]],"Spring","Summer","Fall","Winter")</f>
        <v>Spring</v>
      </c>
      <c r="R67" s="9" t="str">
        <f>CHOOSE(FinalData[[#This Row],[Weathersituation]],"Clear","Mist","Light Rain","Heavy Rain")</f>
        <v>Mist</v>
      </c>
      <c r="S67" s="9" t="str">
        <f>TEXT(FinalData[[#This Row],[Date]],"mmm")</f>
        <v>Jan</v>
      </c>
    </row>
    <row r="68" spans="1:19" x14ac:dyDescent="0.3">
      <c r="A68">
        <v>677</v>
      </c>
      <c r="B68" s="1">
        <v>40574</v>
      </c>
      <c r="C68">
        <v>1</v>
      </c>
      <c r="D68">
        <v>0</v>
      </c>
      <c r="E68">
        <v>1</v>
      </c>
      <c r="F68">
        <v>12</v>
      </c>
      <c r="G68" t="b">
        <v>0</v>
      </c>
      <c r="H68">
        <v>1</v>
      </c>
      <c r="I68">
        <v>2</v>
      </c>
      <c r="J68">
        <v>0.18</v>
      </c>
      <c r="K68" s="6">
        <v>0.21210000000000001</v>
      </c>
      <c r="L68">
        <v>0.55000000000000004</v>
      </c>
      <c r="M68">
        <v>0.1045</v>
      </c>
      <c r="N68" s="4">
        <v>6</v>
      </c>
      <c r="O68" s="4">
        <v>62</v>
      </c>
      <c r="P68" s="4">
        <v>68</v>
      </c>
      <c r="Q68" s="9" t="str">
        <f>CHOOSE(FinalData[[#This Row],[Season]],"Spring","Summer","Fall","Winter")</f>
        <v>Spring</v>
      </c>
      <c r="R68" s="9" t="str">
        <f>CHOOSE(FinalData[[#This Row],[Weathersituation]],"Clear","Mist","Light Rain","Heavy Rain")</f>
        <v>Mist</v>
      </c>
      <c r="S68" s="9" t="str">
        <f>TEXT(FinalData[[#This Row],[Date]],"mmm")</f>
        <v>Jan</v>
      </c>
    </row>
    <row r="69" spans="1:19" x14ac:dyDescent="0.3">
      <c r="A69">
        <v>678</v>
      </c>
      <c r="B69" s="1">
        <v>40574</v>
      </c>
      <c r="C69">
        <v>1</v>
      </c>
      <c r="D69">
        <v>0</v>
      </c>
      <c r="E69">
        <v>1</v>
      </c>
      <c r="F69">
        <v>13</v>
      </c>
      <c r="G69" t="b">
        <v>0</v>
      </c>
      <c r="H69">
        <v>1</v>
      </c>
      <c r="I69">
        <v>2</v>
      </c>
      <c r="J69">
        <v>0.16</v>
      </c>
      <c r="K69" s="6">
        <v>0.2273</v>
      </c>
      <c r="L69">
        <v>0.59</v>
      </c>
      <c r="M69">
        <v>0</v>
      </c>
      <c r="N69" s="4">
        <v>2</v>
      </c>
      <c r="O69" s="4">
        <v>52</v>
      </c>
      <c r="P69" s="4">
        <v>54</v>
      </c>
      <c r="Q69" s="9" t="str">
        <f>CHOOSE(FinalData[[#This Row],[Season]],"Spring","Summer","Fall","Winter")</f>
        <v>Spring</v>
      </c>
      <c r="R69" s="9" t="str">
        <f>CHOOSE(FinalData[[#This Row],[Weathersituation]],"Clear","Mist","Light Rain","Heavy Rain")</f>
        <v>Mist</v>
      </c>
      <c r="S69" s="9" t="str">
        <f>TEXT(FinalData[[#This Row],[Date]],"mmm")</f>
        <v>Jan</v>
      </c>
    </row>
    <row r="70" spans="1:19" x14ac:dyDescent="0.3">
      <c r="A70">
        <v>679</v>
      </c>
      <c r="B70" s="1">
        <v>40574</v>
      </c>
      <c r="C70">
        <v>1</v>
      </c>
      <c r="D70">
        <v>0</v>
      </c>
      <c r="E70">
        <v>1</v>
      </c>
      <c r="F70">
        <v>14</v>
      </c>
      <c r="G70" t="b">
        <v>0</v>
      </c>
      <c r="H70">
        <v>1</v>
      </c>
      <c r="I70">
        <v>2</v>
      </c>
      <c r="J70">
        <v>0.18</v>
      </c>
      <c r="K70" s="6">
        <v>0.19700000000000001</v>
      </c>
      <c r="L70">
        <v>0.55000000000000004</v>
      </c>
      <c r="M70">
        <v>0.1343</v>
      </c>
      <c r="N70" s="4">
        <v>1</v>
      </c>
      <c r="O70" s="4">
        <v>85</v>
      </c>
      <c r="P70" s="4">
        <v>86</v>
      </c>
      <c r="Q70" s="9" t="str">
        <f>CHOOSE(FinalData[[#This Row],[Season]],"Spring","Summer","Fall","Winter")</f>
        <v>Spring</v>
      </c>
      <c r="R70" s="9" t="str">
        <f>CHOOSE(FinalData[[#This Row],[Weathersituation]],"Clear","Mist","Light Rain","Heavy Rain")</f>
        <v>Mist</v>
      </c>
      <c r="S70" s="9" t="str">
        <f>TEXT(FinalData[[#This Row],[Date]],"mmm")</f>
        <v>Jan</v>
      </c>
    </row>
    <row r="71" spans="1:19" x14ac:dyDescent="0.3">
      <c r="A71">
        <v>680</v>
      </c>
      <c r="B71" s="1">
        <v>40574</v>
      </c>
      <c r="C71">
        <v>1</v>
      </c>
      <c r="D71">
        <v>0</v>
      </c>
      <c r="E71">
        <v>1</v>
      </c>
      <c r="F71">
        <v>15</v>
      </c>
      <c r="G71" t="b">
        <v>0</v>
      </c>
      <c r="H71">
        <v>1</v>
      </c>
      <c r="I71">
        <v>2</v>
      </c>
      <c r="J71">
        <v>0.16</v>
      </c>
      <c r="K71" s="6">
        <v>0.18179999999999999</v>
      </c>
      <c r="L71">
        <v>0.59</v>
      </c>
      <c r="M71">
        <v>0.1343</v>
      </c>
      <c r="N71" s="4">
        <v>3</v>
      </c>
      <c r="O71" s="4">
        <v>41</v>
      </c>
      <c r="P71" s="4">
        <v>44</v>
      </c>
      <c r="Q71" s="9" t="str">
        <f>CHOOSE(FinalData[[#This Row],[Season]],"Spring","Summer","Fall","Winter")</f>
        <v>Spring</v>
      </c>
      <c r="R71" s="9" t="str">
        <f>CHOOSE(FinalData[[#This Row],[Weathersituation]],"Clear","Mist","Light Rain","Heavy Rain")</f>
        <v>Mist</v>
      </c>
      <c r="S71" s="9" t="str">
        <f>TEXT(FinalData[[#This Row],[Date]],"mmm")</f>
        <v>Jan</v>
      </c>
    </row>
    <row r="72" spans="1:19" x14ac:dyDescent="0.3">
      <c r="A72">
        <v>681</v>
      </c>
      <c r="B72" s="1">
        <v>40574</v>
      </c>
      <c r="C72">
        <v>1</v>
      </c>
      <c r="D72">
        <v>0</v>
      </c>
      <c r="E72">
        <v>1</v>
      </c>
      <c r="F72">
        <v>16</v>
      </c>
      <c r="G72" t="b">
        <v>0</v>
      </c>
      <c r="H72">
        <v>1</v>
      </c>
      <c r="I72">
        <v>2</v>
      </c>
      <c r="J72">
        <v>0.16</v>
      </c>
      <c r="K72" s="6">
        <v>0.18179999999999999</v>
      </c>
      <c r="L72">
        <v>0.56000000000000005</v>
      </c>
      <c r="M72">
        <v>0.19400000000000001</v>
      </c>
      <c r="N72" s="4">
        <v>3</v>
      </c>
      <c r="O72" s="4">
        <v>83</v>
      </c>
      <c r="P72" s="4">
        <v>86</v>
      </c>
      <c r="Q72" s="9" t="str">
        <f>CHOOSE(FinalData[[#This Row],[Season]],"Spring","Summer","Fall","Winter")</f>
        <v>Spring</v>
      </c>
      <c r="R72" s="9" t="str">
        <f>CHOOSE(FinalData[[#This Row],[Weathersituation]],"Clear","Mist","Light Rain","Heavy Rain")</f>
        <v>Mist</v>
      </c>
      <c r="S72" s="9" t="str">
        <f>TEXT(FinalData[[#This Row],[Date]],"mmm")</f>
        <v>Jan</v>
      </c>
    </row>
    <row r="73" spans="1:19" x14ac:dyDescent="0.3">
      <c r="A73">
        <v>682</v>
      </c>
      <c r="B73" s="1">
        <v>40574</v>
      </c>
      <c r="C73">
        <v>1</v>
      </c>
      <c r="D73">
        <v>0</v>
      </c>
      <c r="E73">
        <v>1</v>
      </c>
      <c r="F73">
        <v>17</v>
      </c>
      <c r="G73" t="b">
        <v>0</v>
      </c>
      <c r="H73">
        <v>1</v>
      </c>
      <c r="I73">
        <v>2</v>
      </c>
      <c r="J73">
        <v>0.16</v>
      </c>
      <c r="K73" s="6">
        <v>0.1515</v>
      </c>
      <c r="L73">
        <v>0.59</v>
      </c>
      <c r="M73">
        <v>0.19400000000000001</v>
      </c>
      <c r="N73" s="4">
        <v>6</v>
      </c>
      <c r="O73" s="4">
        <v>155</v>
      </c>
      <c r="P73" s="4">
        <v>161</v>
      </c>
      <c r="Q73" s="9" t="str">
        <f>CHOOSE(FinalData[[#This Row],[Season]],"Spring","Summer","Fall","Winter")</f>
        <v>Spring</v>
      </c>
      <c r="R73" s="9" t="str">
        <f>CHOOSE(FinalData[[#This Row],[Weathersituation]],"Clear","Mist","Light Rain","Heavy Rain")</f>
        <v>Mist</v>
      </c>
      <c r="S73" s="9" t="str">
        <f>TEXT(FinalData[[#This Row],[Date]],"mmm")</f>
        <v>Jan</v>
      </c>
    </row>
    <row r="74" spans="1:19" x14ac:dyDescent="0.3">
      <c r="A74">
        <v>683</v>
      </c>
      <c r="B74" s="1">
        <v>40574</v>
      </c>
      <c r="C74">
        <v>1</v>
      </c>
      <c r="D74">
        <v>0</v>
      </c>
      <c r="E74">
        <v>1</v>
      </c>
      <c r="F74">
        <v>18</v>
      </c>
      <c r="G74" t="b">
        <v>0</v>
      </c>
      <c r="H74">
        <v>1</v>
      </c>
      <c r="I74">
        <v>2</v>
      </c>
      <c r="J74">
        <v>0.16</v>
      </c>
      <c r="K74" s="6">
        <v>0.1515</v>
      </c>
      <c r="L74">
        <v>0.55000000000000004</v>
      </c>
      <c r="M74">
        <v>0.22389999999999999</v>
      </c>
      <c r="N74" s="4">
        <v>3</v>
      </c>
      <c r="O74" s="4">
        <v>153</v>
      </c>
      <c r="P74" s="4">
        <v>156</v>
      </c>
      <c r="Q74" s="9" t="str">
        <f>CHOOSE(FinalData[[#This Row],[Season]],"Spring","Summer","Fall","Winter")</f>
        <v>Spring</v>
      </c>
      <c r="R74" s="9" t="str">
        <f>CHOOSE(FinalData[[#This Row],[Weathersituation]],"Clear","Mist","Light Rain","Heavy Rain")</f>
        <v>Mist</v>
      </c>
      <c r="S74" s="9" t="str">
        <f>TEXT(FinalData[[#This Row],[Date]],"mmm")</f>
        <v>Jan</v>
      </c>
    </row>
    <row r="75" spans="1:19" x14ac:dyDescent="0.3">
      <c r="A75">
        <v>684</v>
      </c>
      <c r="B75" s="1">
        <v>40574</v>
      </c>
      <c r="C75">
        <v>1</v>
      </c>
      <c r="D75">
        <v>0</v>
      </c>
      <c r="E75">
        <v>1</v>
      </c>
      <c r="F75">
        <v>19</v>
      </c>
      <c r="G75" t="b">
        <v>0</v>
      </c>
      <c r="H75">
        <v>1</v>
      </c>
      <c r="I75">
        <v>1</v>
      </c>
      <c r="J75">
        <v>0.3</v>
      </c>
      <c r="K75" s="6">
        <v>0.31819999999999998</v>
      </c>
      <c r="L75">
        <v>0.61</v>
      </c>
      <c r="M75">
        <v>0.1045</v>
      </c>
      <c r="N75" s="4">
        <v>3</v>
      </c>
      <c r="O75" s="4">
        <v>108</v>
      </c>
      <c r="P75" s="4">
        <v>111</v>
      </c>
      <c r="Q75" s="9" t="str">
        <f>CHOOSE(FinalData[[#This Row],[Season]],"Spring","Summer","Fall","Winter")</f>
        <v>Spring</v>
      </c>
      <c r="R75" s="9" t="str">
        <f>CHOOSE(FinalData[[#This Row],[Weathersituation]],"Clear","Mist","Light Rain","Heavy Rain")</f>
        <v>Clear</v>
      </c>
      <c r="S75" s="9" t="str">
        <f>TEXT(FinalData[[#This Row],[Date]],"mmm")</f>
        <v>Jan</v>
      </c>
    </row>
    <row r="76" spans="1:19" x14ac:dyDescent="0.3">
      <c r="A76">
        <v>685</v>
      </c>
      <c r="B76" s="1">
        <v>40574</v>
      </c>
      <c r="C76">
        <v>1</v>
      </c>
      <c r="D76">
        <v>0</v>
      </c>
      <c r="E76">
        <v>1</v>
      </c>
      <c r="F76">
        <v>20</v>
      </c>
      <c r="G76" t="b">
        <v>0</v>
      </c>
      <c r="H76">
        <v>1</v>
      </c>
      <c r="I76">
        <v>3</v>
      </c>
      <c r="J76">
        <v>0.16</v>
      </c>
      <c r="K76" s="6">
        <v>0.16669999999999999</v>
      </c>
      <c r="L76">
        <v>0.59</v>
      </c>
      <c r="M76">
        <v>0.16420000000000001</v>
      </c>
      <c r="N76" s="4">
        <v>0</v>
      </c>
      <c r="O76" s="4">
        <v>78</v>
      </c>
      <c r="P76" s="4">
        <v>78</v>
      </c>
      <c r="Q76" s="9" t="str">
        <f>CHOOSE(FinalData[[#This Row],[Season]],"Spring","Summer","Fall","Winter")</f>
        <v>Spring</v>
      </c>
      <c r="R76" s="9" t="str">
        <f>CHOOSE(FinalData[[#This Row],[Weathersituation]],"Clear","Mist","Light Rain","Heavy Rain")</f>
        <v>Light Rain</v>
      </c>
      <c r="S76" s="9" t="str">
        <f>TEXT(FinalData[[#This Row],[Date]],"mmm")</f>
        <v>Jan</v>
      </c>
    </row>
    <row r="77" spans="1:19" x14ac:dyDescent="0.3">
      <c r="A77">
        <v>686</v>
      </c>
      <c r="B77" s="1">
        <v>40574</v>
      </c>
      <c r="C77">
        <v>1</v>
      </c>
      <c r="D77">
        <v>0</v>
      </c>
      <c r="E77">
        <v>1</v>
      </c>
      <c r="F77">
        <v>21</v>
      </c>
      <c r="G77" t="b">
        <v>0</v>
      </c>
      <c r="H77">
        <v>1</v>
      </c>
      <c r="I77">
        <v>3</v>
      </c>
      <c r="J77">
        <v>0.16</v>
      </c>
      <c r="K77" s="6">
        <v>0.19700000000000001</v>
      </c>
      <c r="L77">
        <v>0.59</v>
      </c>
      <c r="M77">
        <v>8.9599999999999999E-2</v>
      </c>
      <c r="N77" s="4">
        <v>3</v>
      </c>
      <c r="O77" s="4">
        <v>53</v>
      </c>
      <c r="P77" s="4">
        <v>56</v>
      </c>
      <c r="Q77" s="9" t="str">
        <f>CHOOSE(FinalData[[#This Row],[Season]],"Spring","Summer","Fall","Winter")</f>
        <v>Spring</v>
      </c>
      <c r="R77" s="9" t="str">
        <f>CHOOSE(FinalData[[#This Row],[Weathersituation]],"Clear","Mist","Light Rain","Heavy Rain")</f>
        <v>Light Rain</v>
      </c>
      <c r="S77" s="9" t="str">
        <f>TEXT(FinalData[[#This Row],[Date]],"mmm")</f>
        <v>Jan</v>
      </c>
    </row>
    <row r="78" spans="1:19" x14ac:dyDescent="0.3">
      <c r="A78">
        <v>687</v>
      </c>
      <c r="B78" s="1">
        <v>40574</v>
      </c>
      <c r="C78">
        <v>1</v>
      </c>
      <c r="D78">
        <v>0</v>
      </c>
      <c r="E78">
        <v>1</v>
      </c>
      <c r="F78">
        <v>22</v>
      </c>
      <c r="G78" t="b">
        <v>0</v>
      </c>
      <c r="H78">
        <v>1</v>
      </c>
      <c r="I78">
        <v>2</v>
      </c>
      <c r="J78">
        <v>0.16</v>
      </c>
      <c r="K78" s="6">
        <v>0.18179999999999999</v>
      </c>
      <c r="L78">
        <v>0.59</v>
      </c>
      <c r="M78">
        <v>0.1045</v>
      </c>
      <c r="N78" s="4">
        <v>0</v>
      </c>
      <c r="O78" s="4">
        <v>34</v>
      </c>
      <c r="P78" s="4">
        <v>34</v>
      </c>
      <c r="Q78" s="9" t="str">
        <f>CHOOSE(FinalData[[#This Row],[Season]],"Spring","Summer","Fall","Winter")</f>
        <v>Spring</v>
      </c>
      <c r="R78" s="9" t="str">
        <f>CHOOSE(FinalData[[#This Row],[Weathersituation]],"Clear","Mist","Light Rain","Heavy Rain")</f>
        <v>Mist</v>
      </c>
      <c r="S78" s="9" t="str">
        <f>TEXT(FinalData[[#This Row],[Date]],"mmm")</f>
        <v>Jan</v>
      </c>
    </row>
    <row r="79" spans="1:19" x14ac:dyDescent="0.3">
      <c r="A79">
        <v>688</v>
      </c>
      <c r="B79" s="1">
        <v>40574</v>
      </c>
      <c r="C79">
        <v>1</v>
      </c>
      <c r="D79">
        <v>0</v>
      </c>
      <c r="E79">
        <v>1</v>
      </c>
      <c r="F79">
        <v>23</v>
      </c>
      <c r="G79" t="b">
        <v>0</v>
      </c>
      <c r="H79">
        <v>1</v>
      </c>
      <c r="I79">
        <v>2</v>
      </c>
      <c r="J79">
        <v>0.16</v>
      </c>
      <c r="K79" s="6">
        <v>0.19700000000000001</v>
      </c>
      <c r="L79">
        <v>0.64</v>
      </c>
      <c r="M79">
        <v>8.9599999999999999E-2</v>
      </c>
      <c r="N79" s="4">
        <v>2</v>
      </c>
      <c r="O79" s="4">
        <v>15</v>
      </c>
      <c r="P79" s="4">
        <v>17</v>
      </c>
      <c r="Q79" s="9" t="str">
        <f>CHOOSE(FinalData[[#This Row],[Season]],"Spring","Summer","Fall","Winter")</f>
        <v>Spring</v>
      </c>
      <c r="R79" s="9" t="str">
        <f>CHOOSE(FinalData[[#This Row],[Weathersituation]],"Clear","Mist","Light Rain","Heavy Rain")</f>
        <v>Mist</v>
      </c>
      <c r="S79" s="9" t="str">
        <f>TEXT(FinalData[[#This Row],[Date]],"mmm")</f>
        <v>Jan</v>
      </c>
    </row>
    <row r="80" spans="1:19" x14ac:dyDescent="0.3">
      <c r="A80">
        <v>689</v>
      </c>
      <c r="B80" s="1">
        <v>40575</v>
      </c>
      <c r="C80">
        <v>1</v>
      </c>
      <c r="D80">
        <v>0</v>
      </c>
      <c r="E80">
        <v>2</v>
      </c>
      <c r="F80">
        <v>0</v>
      </c>
      <c r="G80" t="b">
        <v>0</v>
      </c>
      <c r="H80">
        <v>2</v>
      </c>
      <c r="I80">
        <v>2</v>
      </c>
      <c r="J80">
        <v>0.16</v>
      </c>
      <c r="K80" s="6">
        <v>0.18179999999999999</v>
      </c>
      <c r="L80">
        <v>0.64</v>
      </c>
      <c r="M80">
        <v>0.1045</v>
      </c>
      <c r="N80" s="4">
        <v>2</v>
      </c>
      <c r="O80" s="4">
        <v>6</v>
      </c>
      <c r="P80" s="4">
        <v>8</v>
      </c>
      <c r="Q80" s="9" t="str">
        <f>CHOOSE(FinalData[[#This Row],[Season]],"Spring","Summer","Fall","Winter")</f>
        <v>Spring</v>
      </c>
      <c r="R80" s="9" t="str">
        <f>CHOOSE(FinalData[[#This Row],[Weathersituation]],"Clear","Mist","Light Rain","Heavy Rain")</f>
        <v>Mist</v>
      </c>
      <c r="S80" s="9" t="str">
        <f>TEXT(FinalData[[#This Row],[Date]],"mmm")</f>
        <v>Feb</v>
      </c>
    </row>
    <row r="81" spans="1:19" x14ac:dyDescent="0.3">
      <c r="A81">
        <v>690</v>
      </c>
      <c r="B81" s="1">
        <v>40575</v>
      </c>
      <c r="C81">
        <v>1</v>
      </c>
      <c r="D81">
        <v>0</v>
      </c>
      <c r="E81">
        <v>2</v>
      </c>
      <c r="F81">
        <v>1</v>
      </c>
      <c r="G81" t="b">
        <v>0</v>
      </c>
      <c r="H81">
        <v>2</v>
      </c>
      <c r="I81">
        <v>2</v>
      </c>
      <c r="J81">
        <v>0.16</v>
      </c>
      <c r="K81" s="6">
        <v>0.18179999999999999</v>
      </c>
      <c r="L81">
        <v>0.69</v>
      </c>
      <c r="M81">
        <v>0.1045</v>
      </c>
      <c r="N81" s="4">
        <v>0</v>
      </c>
      <c r="O81" s="4">
        <v>3</v>
      </c>
      <c r="P81" s="4">
        <v>3</v>
      </c>
      <c r="Q81" s="9" t="str">
        <f>CHOOSE(FinalData[[#This Row],[Season]],"Spring","Summer","Fall","Winter")</f>
        <v>Spring</v>
      </c>
      <c r="R81" s="9" t="str">
        <f>CHOOSE(FinalData[[#This Row],[Weathersituation]],"Clear","Mist","Light Rain","Heavy Rain")</f>
        <v>Mist</v>
      </c>
      <c r="S81" s="9" t="str">
        <f>TEXT(FinalData[[#This Row],[Date]],"mmm")</f>
        <v>Feb</v>
      </c>
    </row>
    <row r="82" spans="1:19" x14ac:dyDescent="0.3">
      <c r="A82">
        <v>691</v>
      </c>
      <c r="B82" s="1">
        <v>40575</v>
      </c>
      <c r="C82">
        <v>1</v>
      </c>
      <c r="D82">
        <v>0</v>
      </c>
      <c r="E82">
        <v>2</v>
      </c>
      <c r="F82">
        <v>2</v>
      </c>
      <c r="G82" t="b">
        <v>0</v>
      </c>
      <c r="H82">
        <v>2</v>
      </c>
      <c r="I82">
        <v>2</v>
      </c>
      <c r="J82">
        <v>0.16</v>
      </c>
      <c r="K82" s="6">
        <v>0.2273</v>
      </c>
      <c r="L82">
        <v>0.69</v>
      </c>
      <c r="M82">
        <v>0</v>
      </c>
      <c r="N82" s="4">
        <v>0</v>
      </c>
      <c r="O82" s="4">
        <v>2</v>
      </c>
      <c r="P82" s="4">
        <v>2</v>
      </c>
      <c r="Q82" s="9" t="str">
        <f>CHOOSE(FinalData[[#This Row],[Season]],"Spring","Summer","Fall","Winter")</f>
        <v>Spring</v>
      </c>
      <c r="R82" s="9" t="str">
        <f>CHOOSE(FinalData[[#This Row],[Weathersituation]],"Clear","Mist","Light Rain","Heavy Rain")</f>
        <v>Mist</v>
      </c>
      <c r="S82" s="9" t="str">
        <f>TEXT(FinalData[[#This Row],[Date]],"mmm")</f>
        <v>Feb</v>
      </c>
    </row>
    <row r="83" spans="1:19" x14ac:dyDescent="0.3">
      <c r="A83">
        <v>692</v>
      </c>
      <c r="B83" s="1">
        <v>40575</v>
      </c>
      <c r="C83">
        <v>1</v>
      </c>
      <c r="D83">
        <v>0</v>
      </c>
      <c r="E83">
        <v>2</v>
      </c>
      <c r="F83">
        <v>3</v>
      </c>
      <c r="G83" t="b">
        <v>0</v>
      </c>
      <c r="H83">
        <v>2</v>
      </c>
      <c r="I83">
        <v>2</v>
      </c>
      <c r="J83">
        <v>0.16</v>
      </c>
      <c r="K83" s="6">
        <v>0.2273</v>
      </c>
      <c r="L83">
        <v>0.69</v>
      </c>
      <c r="M83">
        <v>0</v>
      </c>
      <c r="N83" s="4">
        <v>0</v>
      </c>
      <c r="O83" s="4">
        <v>2</v>
      </c>
      <c r="P83" s="4">
        <v>2</v>
      </c>
      <c r="Q83" s="9" t="str">
        <f>CHOOSE(FinalData[[#This Row],[Season]],"Spring","Summer","Fall","Winter")</f>
        <v>Spring</v>
      </c>
      <c r="R83" s="9" t="str">
        <f>CHOOSE(FinalData[[#This Row],[Weathersituation]],"Clear","Mist","Light Rain","Heavy Rain")</f>
        <v>Mist</v>
      </c>
      <c r="S83" s="9" t="str">
        <f>TEXT(FinalData[[#This Row],[Date]],"mmm")</f>
        <v>Feb</v>
      </c>
    </row>
    <row r="84" spans="1:19" x14ac:dyDescent="0.3">
      <c r="A84">
        <v>693</v>
      </c>
      <c r="B84" s="1">
        <v>40575</v>
      </c>
      <c r="C84">
        <v>1</v>
      </c>
      <c r="D84">
        <v>0</v>
      </c>
      <c r="E84">
        <v>2</v>
      </c>
      <c r="F84">
        <v>5</v>
      </c>
      <c r="G84" t="b">
        <v>0</v>
      </c>
      <c r="H84">
        <v>2</v>
      </c>
      <c r="I84">
        <v>3</v>
      </c>
      <c r="J84">
        <v>0.14000000000000001</v>
      </c>
      <c r="K84" s="6">
        <v>0.21210000000000001</v>
      </c>
      <c r="L84">
        <v>0.93</v>
      </c>
      <c r="M84">
        <v>0</v>
      </c>
      <c r="N84" s="4">
        <v>0</v>
      </c>
      <c r="O84" s="4">
        <v>3</v>
      </c>
      <c r="P84" s="4">
        <v>3</v>
      </c>
      <c r="Q84" s="9" t="str">
        <f>CHOOSE(FinalData[[#This Row],[Season]],"Spring","Summer","Fall","Winter")</f>
        <v>Spring</v>
      </c>
      <c r="R84" s="9" t="str">
        <f>CHOOSE(FinalData[[#This Row],[Weathersituation]],"Clear","Mist","Light Rain","Heavy Rain")</f>
        <v>Light Rain</v>
      </c>
      <c r="S84" s="9" t="str">
        <f>TEXT(FinalData[[#This Row],[Date]],"mmm")</f>
        <v>Feb</v>
      </c>
    </row>
    <row r="85" spans="1:19" x14ac:dyDescent="0.3">
      <c r="A85">
        <v>694</v>
      </c>
      <c r="B85" s="1">
        <v>40575</v>
      </c>
      <c r="C85">
        <v>1</v>
      </c>
      <c r="D85">
        <v>0</v>
      </c>
      <c r="E85">
        <v>2</v>
      </c>
      <c r="F85">
        <v>6</v>
      </c>
      <c r="G85" t="b">
        <v>0</v>
      </c>
      <c r="H85">
        <v>2</v>
      </c>
      <c r="I85">
        <v>3</v>
      </c>
      <c r="J85">
        <v>0.14000000000000001</v>
      </c>
      <c r="K85" s="6">
        <v>0.21210000000000001</v>
      </c>
      <c r="L85">
        <v>0.93</v>
      </c>
      <c r="M85">
        <v>0</v>
      </c>
      <c r="N85" s="4">
        <v>0</v>
      </c>
      <c r="O85" s="4">
        <v>22</v>
      </c>
      <c r="P85" s="4">
        <v>22</v>
      </c>
      <c r="Q85" s="9" t="str">
        <f>CHOOSE(FinalData[[#This Row],[Season]],"Spring","Summer","Fall","Winter")</f>
        <v>Spring</v>
      </c>
      <c r="R85" s="9" t="str">
        <f>CHOOSE(FinalData[[#This Row],[Weathersituation]],"Clear","Mist","Light Rain","Heavy Rain")</f>
        <v>Light Rain</v>
      </c>
      <c r="S85" s="9" t="str">
        <f>TEXT(FinalData[[#This Row],[Date]],"mmm")</f>
        <v>Feb</v>
      </c>
    </row>
    <row r="86" spans="1:19" x14ac:dyDescent="0.3">
      <c r="A86">
        <v>695</v>
      </c>
      <c r="B86" s="1">
        <v>40575</v>
      </c>
      <c r="C86">
        <v>1</v>
      </c>
      <c r="D86">
        <v>0</v>
      </c>
      <c r="E86">
        <v>2</v>
      </c>
      <c r="F86">
        <v>7</v>
      </c>
      <c r="G86" t="b">
        <v>0</v>
      </c>
      <c r="H86">
        <v>2</v>
      </c>
      <c r="I86">
        <v>3</v>
      </c>
      <c r="J86">
        <v>0.16</v>
      </c>
      <c r="K86" s="6">
        <v>0.2273</v>
      </c>
      <c r="L86">
        <v>0.93</v>
      </c>
      <c r="M86">
        <v>0</v>
      </c>
      <c r="N86" s="4">
        <v>0</v>
      </c>
      <c r="O86" s="4">
        <v>52</v>
      </c>
      <c r="P86" s="4">
        <v>52</v>
      </c>
      <c r="Q86" s="9" t="str">
        <f>CHOOSE(FinalData[[#This Row],[Season]],"Spring","Summer","Fall","Winter")</f>
        <v>Spring</v>
      </c>
      <c r="R86" s="9" t="str">
        <f>CHOOSE(FinalData[[#This Row],[Weathersituation]],"Clear","Mist","Light Rain","Heavy Rain")</f>
        <v>Light Rain</v>
      </c>
      <c r="S86" s="9" t="str">
        <f>TEXT(FinalData[[#This Row],[Date]],"mmm")</f>
        <v>Feb</v>
      </c>
    </row>
    <row r="87" spans="1:19" x14ac:dyDescent="0.3">
      <c r="A87">
        <v>696</v>
      </c>
      <c r="B87" s="1">
        <v>40575</v>
      </c>
      <c r="C87">
        <v>1</v>
      </c>
      <c r="D87">
        <v>0</v>
      </c>
      <c r="E87">
        <v>2</v>
      </c>
      <c r="F87">
        <v>8</v>
      </c>
      <c r="G87" t="b">
        <v>0</v>
      </c>
      <c r="H87">
        <v>2</v>
      </c>
      <c r="I87">
        <v>3</v>
      </c>
      <c r="J87">
        <v>0.16</v>
      </c>
      <c r="K87" s="6">
        <v>0.2273</v>
      </c>
      <c r="L87">
        <v>0.93</v>
      </c>
      <c r="M87">
        <v>0</v>
      </c>
      <c r="N87" s="4">
        <v>3</v>
      </c>
      <c r="O87" s="4">
        <v>132</v>
      </c>
      <c r="P87" s="4">
        <v>135</v>
      </c>
      <c r="Q87" s="9" t="str">
        <f>CHOOSE(FinalData[[#This Row],[Season]],"Spring","Summer","Fall","Winter")</f>
        <v>Spring</v>
      </c>
      <c r="R87" s="9" t="str">
        <f>CHOOSE(FinalData[[#This Row],[Weathersituation]],"Clear","Mist","Light Rain","Heavy Rain")</f>
        <v>Light Rain</v>
      </c>
      <c r="S87" s="9" t="str">
        <f>TEXT(FinalData[[#This Row],[Date]],"mmm")</f>
        <v>Feb</v>
      </c>
    </row>
    <row r="88" spans="1:19" x14ac:dyDescent="0.3">
      <c r="A88">
        <v>697</v>
      </c>
      <c r="B88" s="1">
        <v>40575</v>
      </c>
      <c r="C88">
        <v>1</v>
      </c>
      <c r="D88">
        <v>0</v>
      </c>
      <c r="E88">
        <v>2</v>
      </c>
      <c r="F88">
        <v>9</v>
      </c>
      <c r="G88" t="b">
        <v>0</v>
      </c>
      <c r="H88">
        <v>2</v>
      </c>
      <c r="I88">
        <v>2</v>
      </c>
      <c r="J88">
        <v>0.16</v>
      </c>
      <c r="K88" s="6">
        <v>0.2273</v>
      </c>
      <c r="L88">
        <v>0.93</v>
      </c>
      <c r="M88">
        <v>0</v>
      </c>
      <c r="N88" s="4">
        <v>2</v>
      </c>
      <c r="O88" s="4">
        <v>114</v>
      </c>
      <c r="P88" s="4">
        <v>116</v>
      </c>
      <c r="Q88" s="9" t="str">
        <f>CHOOSE(FinalData[[#This Row],[Season]],"Spring","Summer","Fall","Winter")</f>
        <v>Spring</v>
      </c>
      <c r="R88" s="9" t="str">
        <f>CHOOSE(FinalData[[#This Row],[Weathersituation]],"Clear","Mist","Light Rain","Heavy Rain")</f>
        <v>Mist</v>
      </c>
      <c r="S88" s="9" t="str">
        <f>TEXT(FinalData[[#This Row],[Date]],"mmm")</f>
        <v>Feb</v>
      </c>
    </row>
    <row r="89" spans="1:19" x14ac:dyDescent="0.3">
      <c r="A89">
        <v>698</v>
      </c>
      <c r="B89" s="1">
        <v>40575</v>
      </c>
      <c r="C89">
        <v>1</v>
      </c>
      <c r="D89">
        <v>0</v>
      </c>
      <c r="E89">
        <v>2</v>
      </c>
      <c r="F89">
        <v>10</v>
      </c>
      <c r="G89" t="b">
        <v>0</v>
      </c>
      <c r="H89">
        <v>2</v>
      </c>
      <c r="I89">
        <v>2</v>
      </c>
      <c r="J89">
        <v>0.16</v>
      </c>
      <c r="K89" s="6">
        <v>0.2273</v>
      </c>
      <c r="L89">
        <v>0.93</v>
      </c>
      <c r="M89">
        <v>0</v>
      </c>
      <c r="N89" s="4">
        <v>0</v>
      </c>
      <c r="O89" s="4">
        <v>47</v>
      </c>
      <c r="P89" s="4">
        <v>47</v>
      </c>
      <c r="Q89" s="9" t="str">
        <f>CHOOSE(FinalData[[#This Row],[Season]],"Spring","Summer","Fall","Winter")</f>
        <v>Spring</v>
      </c>
      <c r="R89" s="9" t="str">
        <f>CHOOSE(FinalData[[#This Row],[Weathersituation]],"Clear","Mist","Light Rain","Heavy Rain")</f>
        <v>Mist</v>
      </c>
      <c r="S89" s="9" t="str">
        <f>TEXT(FinalData[[#This Row],[Date]],"mmm")</f>
        <v>Feb</v>
      </c>
    </row>
    <row r="90" spans="1:19" x14ac:dyDescent="0.3">
      <c r="A90">
        <v>699</v>
      </c>
      <c r="B90" s="1">
        <v>40575</v>
      </c>
      <c r="C90">
        <v>1</v>
      </c>
      <c r="D90">
        <v>0</v>
      </c>
      <c r="E90">
        <v>2</v>
      </c>
      <c r="F90">
        <v>11</v>
      </c>
      <c r="G90" t="b">
        <v>0</v>
      </c>
      <c r="H90">
        <v>2</v>
      </c>
      <c r="I90">
        <v>2</v>
      </c>
      <c r="J90">
        <v>0.18</v>
      </c>
      <c r="K90" s="6">
        <v>0.2424</v>
      </c>
      <c r="L90">
        <v>0.86</v>
      </c>
      <c r="M90">
        <v>0</v>
      </c>
      <c r="N90" s="4">
        <v>2</v>
      </c>
      <c r="O90" s="4">
        <v>49</v>
      </c>
      <c r="P90" s="4">
        <v>51</v>
      </c>
      <c r="Q90" s="9" t="str">
        <f>CHOOSE(FinalData[[#This Row],[Season]],"Spring","Summer","Fall","Winter")</f>
        <v>Spring</v>
      </c>
      <c r="R90" s="9" t="str">
        <f>CHOOSE(FinalData[[#This Row],[Weathersituation]],"Clear","Mist","Light Rain","Heavy Rain")</f>
        <v>Mist</v>
      </c>
      <c r="S90" s="9" t="str">
        <f>TEXT(FinalData[[#This Row],[Date]],"mmm")</f>
        <v>Feb</v>
      </c>
    </row>
    <row r="91" spans="1:19" x14ac:dyDescent="0.3">
      <c r="A91">
        <v>700</v>
      </c>
      <c r="B91" s="1">
        <v>40575</v>
      </c>
      <c r="C91">
        <v>1</v>
      </c>
      <c r="D91">
        <v>0</v>
      </c>
      <c r="E91">
        <v>2</v>
      </c>
      <c r="F91">
        <v>12</v>
      </c>
      <c r="G91" t="b">
        <v>0</v>
      </c>
      <c r="H91">
        <v>2</v>
      </c>
      <c r="I91">
        <v>2</v>
      </c>
      <c r="J91">
        <v>0.2</v>
      </c>
      <c r="K91" s="6">
        <v>0.2576</v>
      </c>
      <c r="L91">
        <v>0.86</v>
      </c>
      <c r="M91">
        <v>0</v>
      </c>
      <c r="N91" s="4">
        <v>2</v>
      </c>
      <c r="O91" s="4">
        <v>53</v>
      </c>
      <c r="P91" s="4">
        <v>55</v>
      </c>
      <c r="Q91" s="9" t="str">
        <f>CHOOSE(FinalData[[#This Row],[Season]],"Spring","Summer","Fall","Winter")</f>
        <v>Spring</v>
      </c>
      <c r="R91" s="9" t="str">
        <f>CHOOSE(FinalData[[#This Row],[Weathersituation]],"Clear","Mist","Light Rain","Heavy Rain")</f>
        <v>Mist</v>
      </c>
      <c r="S91" s="9" t="str">
        <f>TEXT(FinalData[[#This Row],[Date]],"mmm")</f>
        <v>Feb</v>
      </c>
    </row>
    <row r="92" spans="1:19" x14ac:dyDescent="0.3">
      <c r="A92">
        <v>701</v>
      </c>
      <c r="B92" s="1">
        <v>40575</v>
      </c>
      <c r="C92">
        <v>1</v>
      </c>
      <c r="D92">
        <v>0</v>
      </c>
      <c r="E92">
        <v>2</v>
      </c>
      <c r="F92">
        <v>13</v>
      </c>
      <c r="G92" t="b">
        <v>0</v>
      </c>
      <c r="H92">
        <v>2</v>
      </c>
      <c r="I92">
        <v>2</v>
      </c>
      <c r="J92">
        <v>0.2</v>
      </c>
      <c r="K92" s="6">
        <v>0.2576</v>
      </c>
      <c r="L92">
        <v>0.86</v>
      </c>
      <c r="M92">
        <v>0</v>
      </c>
      <c r="N92" s="4">
        <v>3</v>
      </c>
      <c r="O92" s="4">
        <v>49</v>
      </c>
      <c r="P92" s="4">
        <v>52</v>
      </c>
      <c r="Q92" s="9" t="str">
        <f>CHOOSE(FinalData[[#This Row],[Season]],"Spring","Summer","Fall","Winter")</f>
        <v>Spring</v>
      </c>
      <c r="R92" s="9" t="str">
        <f>CHOOSE(FinalData[[#This Row],[Weathersituation]],"Clear","Mist","Light Rain","Heavy Rain")</f>
        <v>Mist</v>
      </c>
      <c r="S92" s="9" t="str">
        <f>TEXT(FinalData[[#This Row],[Date]],"mmm")</f>
        <v>Feb</v>
      </c>
    </row>
    <row r="93" spans="1:19" x14ac:dyDescent="0.3">
      <c r="A93">
        <v>702</v>
      </c>
      <c r="B93" s="1">
        <v>40575</v>
      </c>
      <c r="C93">
        <v>1</v>
      </c>
      <c r="D93">
        <v>0</v>
      </c>
      <c r="E93">
        <v>2</v>
      </c>
      <c r="F93">
        <v>14</v>
      </c>
      <c r="G93" t="b">
        <v>0</v>
      </c>
      <c r="H93">
        <v>2</v>
      </c>
      <c r="I93">
        <v>2</v>
      </c>
      <c r="J93">
        <v>0.22</v>
      </c>
      <c r="K93" s="6">
        <v>0.2576</v>
      </c>
      <c r="L93">
        <v>0.8</v>
      </c>
      <c r="M93">
        <v>8.9599999999999999E-2</v>
      </c>
      <c r="N93" s="4">
        <v>5</v>
      </c>
      <c r="O93" s="4">
        <v>49</v>
      </c>
      <c r="P93" s="4">
        <v>54</v>
      </c>
      <c r="Q93" s="9" t="str">
        <f>CHOOSE(FinalData[[#This Row],[Season]],"Spring","Summer","Fall","Winter")</f>
        <v>Spring</v>
      </c>
      <c r="R93" s="9" t="str">
        <f>CHOOSE(FinalData[[#This Row],[Weathersituation]],"Clear","Mist","Light Rain","Heavy Rain")</f>
        <v>Mist</v>
      </c>
      <c r="S93" s="9" t="str">
        <f>TEXT(FinalData[[#This Row],[Date]],"mmm")</f>
        <v>Feb</v>
      </c>
    </row>
    <row r="94" spans="1:19" x14ac:dyDescent="0.3">
      <c r="A94">
        <v>703</v>
      </c>
      <c r="B94" s="1">
        <v>40575</v>
      </c>
      <c r="C94">
        <v>1</v>
      </c>
      <c r="D94">
        <v>0</v>
      </c>
      <c r="E94">
        <v>2</v>
      </c>
      <c r="F94">
        <v>15</v>
      </c>
      <c r="G94" t="b">
        <v>0</v>
      </c>
      <c r="H94">
        <v>2</v>
      </c>
      <c r="I94">
        <v>2</v>
      </c>
      <c r="J94">
        <v>0.24</v>
      </c>
      <c r="K94" s="6">
        <v>0.28789999999999999</v>
      </c>
      <c r="L94">
        <v>0.75</v>
      </c>
      <c r="M94">
        <v>0</v>
      </c>
      <c r="N94" s="4">
        <v>7</v>
      </c>
      <c r="O94" s="4">
        <v>45</v>
      </c>
      <c r="P94" s="4">
        <v>52</v>
      </c>
      <c r="Q94" s="9" t="str">
        <f>CHOOSE(FinalData[[#This Row],[Season]],"Spring","Summer","Fall","Winter")</f>
        <v>Spring</v>
      </c>
      <c r="R94" s="9" t="str">
        <f>CHOOSE(FinalData[[#This Row],[Weathersituation]],"Clear","Mist","Light Rain","Heavy Rain")</f>
        <v>Mist</v>
      </c>
      <c r="S94" s="9" t="str">
        <f>TEXT(FinalData[[#This Row],[Date]],"mmm")</f>
        <v>Feb</v>
      </c>
    </row>
    <row r="95" spans="1:19" x14ac:dyDescent="0.3">
      <c r="A95">
        <v>704</v>
      </c>
      <c r="B95" s="1">
        <v>40575</v>
      </c>
      <c r="C95">
        <v>1</v>
      </c>
      <c r="D95">
        <v>0</v>
      </c>
      <c r="E95">
        <v>2</v>
      </c>
      <c r="F95">
        <v>16</v>
      </c>
      <c r="G95" t="b">
        <v>0</v>
      </c>
      <c r="H95">
        <v>2</v>
      </c>
      <c r="I95">
        <v>2</v>
      </c>
      <c r="J95">
        <v>0.24</v>
      </c>
      <c r="K95" s="6">
        <v>0.2424</v>
      </c>
      <c r="L95">
        <v>0.75</v>
      </c>
      <c r="M95">
        <v>0.1343</v>
      </c>
      <c r="N95" s="4">
        <v>3</v>
      </c>
      <c r="O95" s="4">
        <v>61</v>
      </c>
      <c r="P95" s="4">
        <v>64</v>
      </c>
      <c r="Q95" s="9" t="str">
        <f>CHOOSE(FinalData[[#This Row],[Season]],"Spring","Summer","Fall","Winter")</f>
        <v>Spring</v>
      </c>
      <c r="R95" s="9" t="str">
        <f>CHOOSE(FinalData[[#This Row],[Weathersituation]],"Clear","Mist","Light Rain","Heavy Rain")</f>
        <v>Mist</v>
      </c>
      <c r="S95" s="9" t="str">
        <f>TEXT(FinalData[[#This Row],[Date]],"mmm")</f>
        <v>Feb</v>
      </c>
    </row>
    <row r="96" spans="1:19" x14ac:dyDescent="0.3">
      <c r="A96">
        <v>705</v>
      </c>
      <c r="B96" s="1">
        <v>40575</v>
      </c>
      <c r="C96">
        <v>1</v>
      </c>
      <c r="D96">
        <v>0</v>
      </c>
      <c r="E96">
        <v>2</v>
      </c>
      <c r="F96">
        <v>17</v>
      </c>
      <c r="G96" t="b">
        <v>0</v>
      </c>
      <c r="H96">
        <v>2</v>
      </c>
      <c r="I96">
        <v>2</v>
      </c>
      <c r="J96">
        <v>0.24</v>
      </c>
      <c r="K96" s="6">
        <v>0.28789999999999999</v>
      </c>
      <c r="L96">
        <v>0.75</v>
      </c>
      <c r="M96">
        <v>0</v>
      </c>
      <c r="N96" s="4">
        <v>4</v>
      </c>
      <c r="O96" s="4">
        <v>172</v>
      </c>
      <c r="P96" s="4">
        <v>176</v>
      </c>
      <c r="Q96" s="9" t="str">
        <f>CHOOSE(FinalData[[#This Row],[Season]],"Spring","Summer","Fall","Winter")</f>
        <v>Spring</v>
      </c>
      <c r="R96" s="9" t="str">
        <f>CHOOSE(FinalData[[#This Row],[Weathersituation]],"Clear","Mist","Light Rain","Heavy Rain")</f>
        <v>Mist</v>
      </c>
      <c r="S96" s="9" t="str">
        <f>TEXT(FinalData[[#This Row],[Date]],"mmm")</f>
        <v>Feb</v>
      </c>
    </row>
    <row r="97" spans="1:19" x14ac:dyDescent="0.3">
      <c r="A97">
        <v>706</v>
      </c>
      <c r="B97" s="1">
        <v>40575</v>
      </c>
      <c r="C97">
        <v>1</v>
      </c>
      <c r="D97">
        <v>0</v>
      </c>
      <c r="E97">
        <v>2</v>
      </c>
      <c r="F97">
        <v>18</v>
      </c>
      <c r="G97" t="b">
        <v>0</v>
      </c>
      <c r="H97">
        <v>2</v>
      </c>
      <c r="I97">
        <v>2</v>
      </c>
      <c r="J97">
        <v>0.24</v>
      </c>
      <c r="K97" s="6">
        <v>0.2576</v>
      </c>
      <c r="L97">
        <v>0.81</v>
      </c>
      <c r="M97">
        <v>0.1045</v>
      </c>
      <c r="N97" s="4">
        <v>3</v>
      </c>
      <c r="O97" s="4">
        <v>165</v>
      </c>
      <c r="P97" s="4">
        <v>168</v>
      </c>
      <c r="Q97" s="9" t="str">
        <f>CHOOSE(FinalData[[#This Row],[Season]],"Spring","Summer","Fall","Winter")</f>
        <v>Spring</v>
      </c>
      <c r="R97" s="9" t="str">
        <f>CHOOSE(FinalData[[#This Row],[Weathersituation]],"Clear","Mist","Light Rain","Heavy Rain")</f>
        <v>Mist</v>
      </c>
      <c r="S97" s="9" t="str">
        <f>TEXT(FinalData[[#This Row],[Date]],"mmm")</f>
        <v>Feb</v>
      </c>
    </row>
    <row r="98" spans="1:19" x14ac:dyDescent="0.3">
      <c r="A98">
        <v>707</v>
      </c>
      <c r="B98" s="1">
        <v>40575</v>
      </c>
      <c r="C98">
        <v>1</v>
      </c>
      <c r="D98">
        <v>0</v>
      </c>
      <c r="E98">
        <v>2</v>
      </c>
      <c r="F98">
        <v>19</v>
      </c>
      <c r="G98" t="b">
        <v>0</v>
      </c>
      <c r="H98">
        <v>2</v>
      </c>
      <c r="I98">
        <v>2</v>
      </c>
      <c r="J98">
        <v>0.24</v>
      </c>
      <c r="K98" s="6">
        <v>0.2424</v>
      </c>
      <c r="L98">
        <v>0.81</v>
      </c>
      <c r="M98">
        <v>0.1343</v>
      </c>
      <c r="N98" s="4">
        <v>3</v>
      </c>
      <c r="O98" s="4">
        <v>105</v>
      </c>
      <c r="P98" s="4">
        <v>108</v>
      </c>
      <c r="Q98" s="9" t="str">
        <f>CHOOSE(FinalData[[#This Row],[Season]],"Spring","Summer","Fall","Winter")</f>
        <v>Spring</v>
      </c>
      <c r="R98" s="9" t="str">
        <f>CHOOSE(FinalData[[#This Row],[Weathersituation]],"Clear","Mist","Light Rain","Heavy Rain")</f>
        <v>Mist</v>
      </c>
      <c r="S98" s="9" t="str">
        <f>TEXT(FinalData[[#This Row],[Date]],"mmm")</f>
        <v>Feb</v>
      </c>
    </row>
    <row r="99" spans="1:19" x14ac:dyDescent="0.3">
      <c r="A99">
        <v>708</v>
      </c>
      <c r="B99" s="1">
        <v>40575</v>
      </c>
      <c r="C99">
        <v>1</v>
      </c>
      <c r="D99">
        <v>0</v>
      </c>
      <c r="E99">
        <v>2</v>
      </c>
      <c r="F99">
        <v>20</v>
      </c>
      <c r="G99" t="b">
        <v>0</v>
      </c>
      <c r="H99">
        <v>2</v>
      </c>
      <c r="I99">
        <v>2</v>
      </c>
      <c r="J99">
        <v>0.22</v>
      </c>
      <c r="K99" s="6">
        <v>0.2273</v>
      </c>
      <c r="L99">
        <v>0.87</v>
      </c>
      <c r="M99">
        <v>0.1343</v>
      </c>
      <c r="N99" s="4">
        <v>5</v>
      </c>
      <c r="O99" s="4">
        <v>69</v>
      </c>
      <c r="P99" s="4">
        <v>74</v>
      </c>
      <c r="Q99" s="9" t="str">
        <f>CHOOSE(FinalData[[#This Row],[Season]],"Spring","Summer","Fall","Winter")</f>
        <v>Spring</v>
      </c>
      <c r="R99" s="9" t="str">
        <f>CHOOSE(FinalData[[#This Row],[Weathersituation]],"Clear","Mist","Light Rain","Heavy Rain")</f>
        <v>Mist</v>
      </c>
      <c r="S99" s="9" t="str">
        <f>TEXT(FinalData[[#This Row],[Date]],"mmm")</f>
        <v>Feb</v>
      </c>
    </row>
    <row r="100" spans="1:19" x14ac:dyDescent="0.3">
      <c r="A100">
        <v>709</v>
      </c>
      <c r="B100" s="1">
        <v>40575</v>
      </c>
      <c r="C100">
        <v>1</v>
      </c>
      <c r="D100">
        <v>0</v>
      </c>
      <c r="E100">
        <v>2</v>
      </c>
      <c r="F100">
        <v>21</v>
      </c>
      <c r="G100" t="b">
        <v>0</v>
      </c>
      <c r="H100">
        <v>2</v>
      </c>
      <c r="I100">
        <v>2</v>
      </c>
      <c r="J100">
        <v>0.22</v>
      </c>
      <c r="K100" s="6">
        <v>0.2273</v>
      </c>
      <c r="L100">
        <v>0.87</v>
      </c>
      <c r="M100">
        <v>0.1343</v>
      </c>
      <c r="N100" s="4">
        <v>0</v>
      </c>
      <c r="O100" s="4">
        <v>64</v>
      </c>
      <c r="P100" s="4">
        <v>64</v>
      </c>
      <c r="Q100" s="9" t="str">
        <f>CHOOSE(FinalData[[#This Row],[Season]],"Spring","Summer","Fall","Winter")</f>
        <v>Spring</v>
      </c>
      <c r="R100" s="9" t="str">
        <f>CHOOSE(FinalData[[#This Row],[Weathersituation]],"Clear","Mist","Light Rain","Heavy Rain")</f>
        <v>Mist</v>
      </c>
      <c r="S100" s="9" t="str">
        <f>TEXT(FinalData[[#This Row],[Date]],"mmm")</f>
        <v>Feb</v>
      </c>
    </row>
    <row r="101" spans="1:19" x14ac:dyDescent="0.3">
      <c r="A101">
        <v>710</v>
      </c>
      <c r="B101" s="1">
        <v>40575</v>
      </c>
      <c r="C101">
        <v>1</v>
      </c>
      <c r="D101">
        <v>0</v>
      </c>
      <c r="E101">
        <v>2</v>
      </c>
      <c r="F101">
        <v>22</v>
      </c>
      <c r="G101" t="b">
        <v>0</v>
      </c>
      <c r="H101">
        <v>2</v>
      </c>
      <c r="I101">
        <v>2</v>
      </c>
      <c r="J101">
        <v>0.22</v>
      </c>
      <c r="K101" s="6">
        <v>0.2576</v>
      </c>
      <c r="L101">
        <v>0.87</v>
      </c>
      <c r="M101">
        <v>8.9599999999999999E-2</v>
      </c>
      <c r="N101" s="4">
        <v>2</v>
      </c>
      <c r="O101" s="4">
        <v>34</v>
      </c>
      <c r="P101" s="4">
        <v>36</v>
      </c>
      <c r="Q101" s="9" t="str">
        <f>CHOOSE(FinalData[[#This Row],[Season]],"Spring","Summer","Fall","Winter")</f>
        <v>Spring</v>
      </c>
      <c r="R101" s="9" t="str">
        <f>CHOOSE(FinalData[[#This Row],[Weathersituation]],"Clear","Mist","Light Rain","Heavy Rain")</f>
        <v>Mist</v>
      </c>
      <c r="S101" s="9" t="str">
        <f>TEXT(FinalData[[#This Row],[Date]],"mmm")</f>
        <v>Feb</v>
      </c>
    </row>
    <row r="102" spans="1:19" x14ac:dyDescent="0.3">
      <c r="A102">
        <v>711</v>
      </c>
      <c r="B102" s="1">
        <v>40575</v>
      </c>
      <c r="C102">
        <v>1</v>
      </c>
      <c r="D102">
        <v>0</v>
      </c>
      <c r="E102">
        <v>2</v>
      </c>
      <c r="F102">
        <v>23</v>
      </c>
      <c r="G102" t="b">
        <v>0</v>
      </c>
      <c r="H102">
        <v>2</v>
      </c>
      <c r="I102">
        <v>3</v>
      </c>
      <c r="J102">
        <v>0.2</v>
      </c>
      <c r="K102" s="6">
        <v>0.19700000000000001</v>
      </c>
      <c r="L102">
        <v>0.93</v>
      </c>
      <c r="M102">
        <v>0.19400000000000001</v>
      </c>
      <c r="N102" s="4">
        <v>1</v>
      </c>
      <c r="O102" s="4">
        <v>15</v>
      </c>
      <c r="P102" s="4">
        <v>16</v>
      </c>
      <c r="Q102" s="9" t="str">
        <f>CHOOSE(FinalData[[#This Row],[Season]],"Spring","Summer","Fall","Winter")</f>
        <v>Spring</v>
      </c>
      <c r="R102" s="9" t="str">
        <f>CHOOSE(FinalData[[#This Row],[Weathersituation]],"Clear","Mist","Light Rain","Heavy Rain")</f>
        <v>Light Rain</v>
      </c>
      <c r="S102" s="9" t="str">
        <f>TEXT(FinalData[[#This Row],[Date]],"mmm")</f>
        <v>Feb</v>
      </c>
    </row>
    <row r="103" spans="1:19" x14ac:dyDescent="0.3">
      <c r="A103">
        <v>712</v>
      </c>
      <c r="B103" s="1">
        <v>40576</v>
      </c>
      <c r="C103">
        <v>1</v>
      </c>
      <c r="D103">
        <v>0</v>
      </c>
      <c r="E103">
        <v>2</v>
      </c>
      <c r="F103">
        <v>0</v>
      </c>
      <c r="G103" t="b">
        <v>0</v>
      </c>
      <c r="H103">
        <v>3</v>
      </c>
      <c r="I103">
        <v>3</v>
      </c>
      <c r="J103">
        <v>0.22</v>
      </c>
      <c r="K103" s="6">
        <v>0.2424</v>
      </c>
      <c r="L103">
        <v>0.93</v>
      </c>
      <c r="M103">
        <v>0.1045</v>
      </c>
      <c r="N103" s="4">
        <v>0</v>
      </c>
      <c r="O103" s="4">
        <v>2</v>
      </c>
      <c r="P103" s="4">
        <v>2</v>
      </c>
      <c r="Q103" s="9" t="str">
        <f>CHOOSE(FinalData[[#This Row],[Season]],"Spring","Summer","Fall","Winter")</f>
        <v>Spring</v>
      </c>
      <c r="R103" s="9" t="str">
        <f>CHOOSE(FinalData[[#This Row],[Weathersituation]],"Clear","Mist","Light Rain","Heavy Rain")</f>
        <v>Light Rain</v>
      </c>
      <c r="S103" s="9" t="str">
        <f>TEXT(FinalData[[#This Row],[Date]],"mmm")</f>
        <v>Feb</v>
      </c>
    </row>
    <row r="104" spans="1:19" x14ac:dyDescent="0.3">
      <c r="A104">
        <v>713</v>
      </c>
      <c r="B104" s="1">
        <v>40576</v>
      </c>
      <c r="C104">
        <v>1</v>
      </c>
      <c r="D104">
        <v>0</v>
      </c>
      <c r="E104">
        <v>2</v>
      </c>
      <c r="F104">
        <v>1</v>
      </c>
      <c r="G104" t="b">
        <v>0</v>
      </c>
      <c r="H104">
        <v>3</v>
      </c>
      <c r="I104">
        <v>3</v>
      </c>
      <c r="J104">
        <v>0.22</v>
      </c>
      <c r="K104" s="6">
        <v>0.2273</v>
      </c>
      <c r="L104">
        <v>0.93</v>
      </c>
      <c r="M104">
        <v>0.19400000000000001</v>
      </c>
      <c r="N104" s="4">
        <v>0</v>
      </c>
      <c r="O104" s="4">
        <v>3</v>
      </c>
      <c r="P104" s="4">
        <v>3</v>
      </c>
      <c r="Q104" s="9" t="str">
        <f>CHOOSE(FinalData[[#This Row],[Season]],"Spring","Summer","Fall","Winter")</f>
        <v>Spring</v>
      </c>
      <c r="R104" s="9" t="str">
        <f>CHOOSE(FinalData[[#This Row],[Weathersituation]],"Clear","Mist","Light Rain","Heavy Rain")</f>
        <v>Light Rain</v>
      </c>
      <c r="S104" s="9" t="str">
        <f>TEXT(FinalData[[#This Row],[Date]],"mmm")</f>
        <v>Feb</v>
      </c>
    </row>
    <row r="105" spans="1:19" x14ac:dyDescent="0.3">
      <c r="A105">
        <v>714</v>
      </c>
      <c r="B105" s="1">
        <v>40576</v>
      </c>
      <c r="C105">
        <v>1</v>
      </c>
      <c r="D105">
        <v>0</v>
      </c>
      <c r="E105">
        <v>2</v>
      </c>
      <c r="F105">
        <v>2</v>
      </c>
      <c r="G105" t="b">
        <v>0</v>
      </c>
      <c r="H105">
        <v>3</v>
      </c>
      <c r="I105">
        <v>3</v>
      </c>
      <c r="J105">
        <v>0.22</v>
      </c>
      <c r="K105" s="6">
        <v>0.2273</v>
      </c>
      <c r="L105">
        <v>0.93</v>
      </c>
      <c r="M105">
        <v>0.1343</v>
      </c>
      <c r="N105" s="4">
        <v>4</v>
      </c>
      <c r="O105" s="4">
        <v>0</v>
      </c>
      <c r="P105" s="4">
        <v>4</v>
      </c>
      <c r="Q105" s="9" t="str">
        <f>CHOOSE(FinalData[[#This Row],[Season]],"Spring","Summer","Fall","Winter")</f>
        <v>Spring</v>
      </c>
      <c r="R105" s="9" t="str">
        <f>CHOOSE(FinalData[[#This Row],[Weathersituation]],"Clear","Mist","Light Rain","Heavy Rain")</f>
        <v>Light Rain</v>
      </c>
      <c r="S105" s="9" t="str">
        <f>TEXT(FinalData[[#This Row],[Date]],"mmm")</f>
        <v>Feb</v>
      </c>
    </row>
    <row r="106" spans="1:19" x14ac:dyDescent="0.3">
      <c r="A106">
        <v>715</v>
      </c>
      <c r="B106" s="1">
        <v>40576</v>
      </c>
      <c r="C106">
        <v>1</v>
      </c>
      <c r="D106">
        <v>0</v>
      </c>
      <c r="E106">
        <v>2</v>
      </c>
      <c r="F106">
        <v>3</v>
      </c>
      <c r="G106" t="b">
        <v>0</v>
      </c>
      <c r="H106">
        <v>3</v>
      </c>
      <c r="I106">
        <v>3</v>
      </c>
      <c r="J106">
        <v>0.22</v>
      </c>
      <c r="K106" s="6">
        <v>0.2273</v>
      </c>
      <c r="L106">
        <v>0.93</v>
      </c>
      <c r="M106">
        <v>0.1343</v>
      </c>
      <c r="N106" s="4">
        <v>0</v>
      </c>
      <c r="O106" s="4">
        <v>1</v>
      </c>
      <c r="P106" s="4">
        <v>1</v>
      </c>
      <c r="Q106" s="9" t="str">
        <f>CHOOSE(FinalData[[#This Row],[Season]],"Spring","Summer","Fall","Winter")</f>
        <v>Spring</v>
      </c>
      <c r="R106" s="9" t="str">
        <f>CHOOSE(FinalData[[#This Row],[Weathersituation]],"Clear","Mist","Light Rain","Heavy Rain")</f>
        <v>Light Rain</v>
      </c>
      <c r="S106" s="9" t="str">
        <f>TEXT(FinalData[[#This Row],[Date]],"mmm")</f>
        <v>Feb</v>
      </c>
    </row>
    <row r="107" spans="1:19" x14ac:dyDescent="0.3">
      <c r="A107">
        <v>716</v>
      </c>
      <c r="B107" s="1">
        <v>40576</v>
      </c>
      <c r="C107">
        <v>1</v>
      </c>
      <c r="D107">
        <v>0</v>
      </c>
      <c r="E107">
        <v>2</v>
      </c>
      <c r="F107">
        <v>4</v>
      </c>
      <c r="G107" t="b">
        <v>0</v>
      </c>
      <c r="H107">
        <v>3</v>
      </c>
      <c r="I107">
        <v>3</v>
      </c>
      <c r="J107">
        <v>0.22</v>
      </c>
      <c r="K107" s="6">
        <v>0.21210000000000001</v>
      </c>
      <c r="L107">
        <v>0.93</v>
      </c>
      <c r="M107">
        <v>0.28360000000000002</v>
      </c>
      <c r="N107" s="4">
        <v>0</v>
      </c>
      <c r="O107" s="4">
        <v>1</v>
      </c>
      <c r="P107" s="4">
        <v>1</v>
      </c>
      <c r="Q107" s="9" t="str">
        <f>CHOOSE(FinalData[[#This Row],[Season]],"Spring","Summer","Fall","Winter")</f>
        <v>Spring</v>
      </c>
      <c r="R107" s="9" t="str">
        <f>CHOOSE(FinalData[[#This Row],[Weathersituation]],"Clear","Mist","Light Rain","Heavy Rain")</f>
        <v>Light Rain</v>
      </c>
      <c r="S107" s="9" t="str">
        <f>TEXT(FinalData[[#This Row],[Date]],"mmm")</f>
        <v>Feb</v>
      </c>
    </row>
    <row r="108" spans="1:19" x14ac:dyDescent="0.3">
      <c r="A108">
        <v>717</v>
      </c>
      <c r="B108" s="1">
        <v>40576</v>
      </c>
      <c r="C108">
        <v>1</v>
      </c>
      <c r="D108">
        <v>0</v>
      </c>
      <c r="E108">
        <v>2</v>
      </c>
      <c r="F108">
        <v>5</v>
      </c>
      <c r="G108" t="b">
        <v>0</v>
      </c>
      <c r="H108">
        <v>3</v>
      </c>
      <c r="I108">
        <v>3</v>
      </c>
      <c r="J108">
        <v>0.22</v>
      </c>
      <c r="K108" s="6">
        <v>0.2424</v>
      </c>
      <c r="L108">
        <v>0.93</v>
      </c>
      <c r="M108">
        <v>0.1045</v>
      </c>
      <c r="N108" s="4">
        <v>0</v>
      </c>
      <c r="O108" s="4">
        <v>3</v>
      </c>
      <c r="P108" s="4">
        <v>3</v>
      </c>
      <c r="Q108" s="9" t="str">
        <f>CHOOSE(FinalData[[#This Row],[Season]],"Spring","Summer","Fall","Winter")</f>
        <v>Spring</v>
      </c>
      <c r="R108" s="9" t="str">
        <f>CHOOSE(FinalData[[#This Row],[Weathersituation]],"Clear","Mist","Light Rain","Heavy Rain")</f>
        <v>Light Rain</v>
      </c>
      <c r="S108" s="9" t="str">
        <f>TEXT(FinalData[[#This Row],[Date]],"mmm")</f>
        <v>Feb</v>
      </c>
    </row>
    <row r="109" spans="1:19" x14ac:dyDescent="0.3">
      <c r="A109">
        <v>718</v>
      </c>
      <c r="B109" s="1">
        <v>40576</v>
      </c>
      <c r="C109">
        <v>1</v>
      </c>
      <c r="D109">
        <v>0</v>
      </c>
      <c r="E109">
        <v>2</v>
      </c>
      <c r="F109">
        <v>6</v>
      </c>
      <c r="G109" t="b">
        <v>0</v>
      </c>
      <c r="H109">
        <v>3</v>
      </c>
      <c r="I109">
        <v>3</v>
      </c>
      <c r="J109">
        <v>0.22</v>
      </c>
      <c r="K109" s="6">
        <v>0.2424</v>
      </c>
      <c r="L109">
        <v>0.93</v>
      </c>
      <c r="M109">
        <v>0.1045</v>
      </c>
      <c r="N109" s="4">
        <v>1</v>
      </c>
      <c r="O109" s="4">
        <v>17</v>
      </c>
      <c r="P109" s="4">
        <v>18</v>
      </c>
      <c r="Q109" s="9" t="str">
        <f>CHOOSE(FinalData[[#This Row],[Season]],"Spring","Summer","Fall","Winter")</f>
        <v>Spring</v>
      </c>
      <c r="R109" s="9" t="str">
        <f>CHOOSE(FinalData[[#This Row],[Weathersituation]],"Clear","Mist","Light Rain","Heavy Rain")</f>
        <v>Light Rain</v>
      </c>
      <c r="S109" s="9" t="str">
        <f>TEXT(FinalData[[#This Row],[Date]],"mmm")</f>
        <v>Feb</v>
      </c>
    </row>
    <row r="110" spans="1:19" x14ac:dyDescent="0.3">
      <c r="A110">
        <v>719</v>
      </c>
      <c r="B110" s="1">
        <v>40576</v>
      </c>
      <c r="C110">
        <v>1</v>
      </c>
      <c r="D110">
        <v>0</v>
      </c>
      <c r="E110">
        <v>2</v>
      </c>
      <c r="F110">
        <v>7</v>
      </c>
      <c r="G110" t="b">
        <v>0</v>
      </c>
      <c r="H110">
        <v>3</v>
      </c>
      <c r="I110">
        <v>3</v>
      </c>
      <c r="J110">
        <v>0.22</v>
      </c>
      <c r="K110" s="6">
        <v>0.21210000000000001</v>
      </c>
      <c r="L110">
        <v>0.93</v>
      </c>
      <c r="M110">
        <v>0.22389999999999999</v>
      </c>
      <c r="N110" s="4">
        <v>1</v>
      </c>
      <c r="O110" s="4">
        <v>48</v>
      </c>
      <c r="P110" s="4">
        <v>49</v>
      </c>
      <c r="Q110" s="9" t="str">
        <f>CHOOSE(FinalData[[#This Row],[Season]],"Spring","Summer","Fall","Winter")</f>
        <v>Spring</v>
      </c>
      <c r="R110" s="9" t="str">
        <f>CHOOSE(FinalData[[#This Row],[Weathersituation]],"Clear","Mist","Light Rain","Heavy Rain")</f>
        <v>Light Rain</v>
      </c>
      <c r="S110" s="9" t="str">
        <f>TEXT(FinalData[[#This Row],[Date]],"mmm")</f>
        <v>Feb</v>
      </c>
    </row>
    <row r="111" spans="1:19" x14ac:dyDescent="0.3">
      <c r="A111">
        <v>720</v>
      </c>
      <c r="B111" s="1">
        <v>40576</v>
      </c>
      <c r="C111">
        <v>1</v>
      </c>
      <c r="D111">
        <v>0</v>
      </c>
      <c r="E111">
        <v>2</v>
      </c>
      <c r="F111">
        <v>8</v>
      </c>
      <c r="G111" t="b">
        <v>0</v>
      </c>
      <c r="H111">
        <v>3</v>
      </c>
      <c r="I111">
        <v>3</v>
      </c>
      <c r="J111">
        <v>0.22</v>
      </c>
      <c r="K111" s="6">
        <v>0.21210000000000001</v>
      </c>
      <c r="L111">
        <v>0.93</v>
      </c>
      <c r="M111">
        <v>0.22389999999999999</v>
      </c>
      <c r="N111" s="4">
        <v>1</v>
      </c>
      <c r="O111" s="4">
        <v>154</v>
      </c>
      <c r="P111" s="4">
        <v>155</v>
      </c>
      <c r="Q111" s="9" t="str">
        <f>CHOOSE(FinalData[[#This Row],[Season]],"Spring","Summer","Fall","Winter")</f>
        <v>Spring</v>
      </c>
      <c r="R111" s="9" t="str">
        <f>CHOOSE(FinalData[[#This Row],[Weathersituation]],"Clear","Mist","Light Rain","Heavy Rain")</f>
        <v>Light Rain</v>
      </c>
      <c r="S111" s="9" t="str">
        <f>TEXT(FinalData[[#This Row],[Date]],"mmm")</f>
        <v>Feb</v>
      </c>
    </row>
    <row r="112" spans="1:19" x14ac:dyDescent="0.3">
      <c r="A112">
        <v>721</v>
      </c>
      <c r="B112" s="1">
        <v>40576</v>
      </c>
      <c r="C112">
        <v>1</v>
      </c>
      <c r="D112">
        <v>0</v>
      </c>
      <c r="E112">
        <v>2</v>
      </c>
      <c r="F112">
        <v>9</v>
      </c>
      <c r="G112" t="b">
        <v>0</v>
      </c>
      <c r="H112">
        <v>3</v>
      </c>
      <c r="I112">
        <v>2</v>
      </c>
      <c r="J112">
        <v>0.24</v>
      </c>
      <c r="K112" s="6">
        <v>0.2576</v>
      </c>
      <c r="L112">
        <v>0.93</v>
      </c>
      <c r="M112">
        <v>8.9599999999999999E-2</v>
      </c>
      <c r="N112" s="4">
        <v>4</v>
      </c>
      <c r="O112" s="4">
        <v>119</v>
      </c>
      <c r="P112" s="4">
        <v>123</v>
      </c>
      <c r="Q112" s="9" t="str">
        <f>CHOOSE(FinalData[[#This Row],[Season]],"Spring","Summer","Fall","Winter")</f>
        <v>Spring</v>
      </c>
      <c r="R112" s="9" t="str">
        <f>CHOOSE(FinalData[[#This Row],[Weathersituation]],"Clear","Mist","Light Rain","Heavy Rain")</f>
        <v>Mist</v>
      </c>
      <c r="S112" s="9" t="str">
        <f>TEXT(FinalData[[#This Row],[Date]],"mmm")</f>
        <v>Feb</v>
      </c>
    </row>
    <row r="113" spans="1:19" x14ac:dyDescent="0.3">
      <c r="A113">
        <v>722</v>
      </c>
      <c r="B113" s="1">
        <v>40576</v>
      </c>
      <c r="C113">
        <v>1</v>
      </c>
      <c r="D113">
        <v>0</v>
      </c>
      <c r="E113">
        <v>2</v>
      </c>
      <c r="F113">
        <v>10</v>
      </c>
      <c r="G113" t="b">
        <v>0</v>
      </c>
      <c r="H113">
        <v>3</v>
      </c>
      <c r="I113">
        <v>2</v>
      </c>
      <c r="J113">
        <v>0.22</v>
      </c>
      <c r="K113" s="6">
        <v>0.2727</v>
      </c>
      <c r="L113">
        <v>1</v>
      </c>
      <c r="M113">
        <v>0</v>
      </c>
      <c r="N113" s="4">
        <v>2</v>
      </c>
      <c r="O113" s="4">
        <v>59</v>
      </c>
      <c r="P113" s="4">
        <v>61</v>
      </c>
      <c r="Q113" s="9" t="str">
        <f>CHOOSE(FinalData[[#This Row],[Season]],"Spring","Summer","Fall","Winter")</f>
        <v>Spring</v>
      </c>
      <c r="R113" s="9" t="str">
        <f>CHOOSE(FinalData[[#This Row],[Weathersituation]],"Clear","Mist","Light Rain","Heavy Rain")</f>
        <v>Mist</v>
      </c>
      <c r="S113" s="9" t="str">
        <f>TEXT(FinalData[[#This Row],[Date]],"mmm")</f>
        <v>Feb</v>
      </c>
    </row>
    <row r="114" spans="1:19" x14ac:dyDescent="0.3">
      <c r="A114">
        <v>723</v>
      </c>
      <c r="B114" s="1">
        <v>40576</v>
      </c>
      <c r="C114">
        <v>1</v>
      </c>
      <c r="D114">
        <v>0</v>
      </c>
      <c r="E114">
        <v>2</v>
      </c>
      <c r="F114">
        <v>11</v>
      </c>
      <c r="G114" t="b">
        <v>0</v>
      </c>
      <c r="H114">
        <v>3</v>
      </c>
      <c r="I114">
        <v>2</v>
      </c>
      <c r="J114">
        <v>0.24</v>
      </c>
      <c r="K114" s="6">
        <v>0.2273</v>
      </c>
      <c r="L114">
        <v>0.93</v>
      </c>
      <c r="M114">
        <v>0.19400000000000001</v>
      </c>
      <c r="N114" s="4">
        <v>5</v>
      </c>
      <c r="O114" s="4">
        <v>47</v>
      </c>
      <c r="P114" s="4">
        <v>52</v>
      </c>
      <c r="Q114" s="9" t="str">
        <f>CHOOSE(FinalData[[#This Row],[Season]],"Spring","Summer","Fall","Winter")</f>
        <v>Spring</v>
      </c>
      <c r="R114" s="9" t="str">
        <f>CHOOSE(FinalData[[#This Row],[Weathersituation]],"Clear","Mist","Light Rain","Heavy Rain")</f>
        <v>Mist</v>
      </c>
      <c r="S114" s="9" t="str">
        <f>TEXT(FinalData[[#This Row],[Date]],"mmm")</f>
        <v>Feb</v>
      </c>
    </row>
    <row r="115" spans="1:19" x14ac:dyDescent="0.3">
      <c r="A115">
        <v>724</v>
      </c>
      <c r="B115" s="1">
        <v>40576</v>
      </c>
      <c r="C115">
        <v>1</v>
      </c>
      <c r="D115">
        <v>0</v>
      </c>
      <c r="E115">
        <v>2</v>
      </c>
      <c r="F115">
        <v>12</v>
      </c>
      <c r="G115" t="b">
        <v>0</v>
      </c>
      <c r="H115">
        <v>3</v>
      </c>
      <c r="I115">
        <v>2</v>
      </c>
      <c r="J115">
        <v>0.24</v>
      </c>
      <c r="K115" s="6">
        <v>0.2273</v>
      </c>
      <c r="L115">
        <v>0.93</v>
      </c>
      <c r="M115">
        <v>0.22389999999999999</v>
      </c>
      <c r="N115" s="4">
        <v>3</v>
      </c>
      <c r="O115" s="4">
        <v>61</v>
      </c>
      <c r="P115" s="4">
        <v>64</v>
      </c>
      <c r="Q115" s="9" t="str">
        <f>CHOOSE(FinalData[[#This Row],[Season]],"Spring","Summer","Fall","Winter")</f>
        <v>Spring</v>
      </c>
      <c r="R115" s="9" t="str">
        <f>CHOOSE(FinalData[[#This Row],[Weathersituation]],"Clear","Mist","Light Rain","Heavy Rain")</f>
        <v>Mist</v>
      </c>
      <c r="S115" s="9" t="str">
        <f>TEXT(FinalData[[#This Row],[Date]],"mmm")</f>
        <v>Feb</v>
      </c>
    </row>
    <row r="116" spans="1:19" x14ac:dyDescent="0.3">
      <c r="A116">
        <v>725</v>
      </c>
      <c r="B116" s="1">
        <v>40576</v>
      </c>
      <c r="C116">
        <v>1</v>
      </c>
      <c r="D116">
        <v>0</v>
      </c>
      <c r="E116">
        <v>2</v>
      </c>
      <c r="F116">
        <v>13</v>
      </c>
      <c r="G116" t="b">
        <v>0</v>
      </c>
      <c r="H116">
        <v>3</v>
      </c>
      <c r="I116">
        <v>1</v>
      </c>
      <c r="J116">
        <v>0.34</v>
      </c>
      <c r="K116" s="6">
        <v>0.33329999999999999</v>
      </c>
      <c r="L116">
        <v>0.93</v>
      </c>
      <c r="M116">
        <v>0.16420000000000001</v>
      </c>
      <c r="N116" s="4">
        <v>1</v>
      </c>
      <c r="O116" s="4">
        <v>74</v>
      </c>
      <c r="P116" s="4">
        <v>75</v>
      </c>
      <c r="Q116" s="9" t="str">
        <f>CHOOSE(FinalData[[#This Row],[Season]],"Spring","Summer","Fall","Winter")</f>
        <v>Spring</v>
      </c>
      <c r="R116" s="9" t="str">
        <f>CHOOSE(FinalData[[#This Row],[Weathersituation]],"Clear","Mist","Light Rain","Heavy Rain")</f>
        <v>Clear</v>
      </c>
      <c r="S116" s="9" t="str">
        <f>TEXT(FinalData[[#This Row],[Date]],"mmm")</f>
        <v>Feb</v>
      </c>
    </row>
    <row r="117" spans="1:19" x14ac:dyDescent="0.3">
      <c r="A117">
        <v>726</v>
      </c>
      <c r="B117" s="1">
        <v>40576</v>
      </c>
      <c r="C117">
        <v>1</v>
      </c>
      <c r="D117">
        <v>0</v>
      </c>
      <c r="E117">
        <v>2</v>
      </c>
      <c r="F117">
        <v>14</v>
      </c>
      <c r="G117" t="b">
        <v>0</v>
      </c>
      <c r="H117">
        <v>3</v>
      </c>
      <c r="I117">
        <v>1</v>
      </c>
      <c r="J117">
        <v>0.38</v>
      </c>
      <c r="K117" s="6">
        <v>0.39389999999999997</v>
      </c>
      <c r="L117">
        <v>0.82</v>
      </c>
      <c r="M117">
        <v>0.3881</v>
      </c>
      <c r="N117" s="4">
        <v>2</v>
      </c>
      <c r="O117" s="4">
        <v>61</v>
      </c>
      <c r="P117" s="4">
        <v>63</v>
      </c>
      <c r="Q117" s="9" t="str">
        <f>CHOOSE(FinalData[[#This Row],[Season]],"Spring","Summer","Fall","Winter")</f>
        <v>Spring</v>
      </c>
      <c r="R117" s="9" t="str">
        <f>CHOOSE(FinalData[[#This Row],[Weathersituation]],"Clear","Mist","Light Rain","Heavy Rain")</f>
        <v>Clear</v>
      </c>
      <c r="S117" s="9" t="str">
        <f>TEXT(FinalData[[#This Row],[Date]],"mmm")</f>
        <v>Feb</v>
      </c>
    </row>
    <row r="118" spans="1:19" x14ac:dyDescent="0.3">
      <c r="A118">
        <v>727</v>
      </c>
      <c r="B118" s="1">
        <v>40576</v>
      </c>
      <c r="C118">
        <v>1</v>
      </c>
      <c r="D118">
        <v>0</v>
      </c>
      <c r="E118">
        <v>2</v>
      </c>
      <c r="F118">
        <v>15</v>
      </c>
      <c r="G118" t="b">
        <v>0</v>
      </c>
      <c r="H118">
        <v>3</v>
      </c>
      <c r="I118">
        <v>1</v>
      </c>
      <c r="J118">
        <v>0.38</v>
      </c>
      <c r="K118" s="6">
        <v>0.39389999999999997</v>
      </c>
      <c r="L118">
        <v>0.76</v>
      </c>
      <c r="M118">
        <v>0.32840000000000003</v>
      </c>
      <c r="N118" s="4">
        <v>10</v>
      </c>
      <c r="O118" s="4">
        <v>66</v>
      </c>
      <c r="P118" s="4">
        <v>76</v>
      </c>
      <c r="Q118" s="9" t="str">
        <f>CHOOSE(FinalData[[#This Row],[Season]],"Spring","Summer","Fall","Winter")</f>
        <v>Spring</v>
      </c>
      <c r="R118" s="9" t="str">
        <f>CHOOSE(FinalData[[#This Row],[Weathersituation]],"Clear","Mist","Light Rain","Heavy Rain")</f>
        <v>Clear</v>
      </c>
      <c r="S118" s="9" t="str">
        <f>TEXT(FinalData[[#This Row],[Date]],"mmm")</f>
        <v>Feb</v>
      </c>
    </row>
    <row r="119" spans="1:19" x14ac:dyDescent="0.3">
      <c r="A119">
        <v>728</v>
      </c>
      <c r="B119" s="1">
        <v>40576</v>
      </c>
      <c r="C119">
        <v>1</v>
      </c>
      <c r="D119">
        <v>0</v>
      </c>
      <c r="E119">
        <v>2</v>
      </c>
      <c r="F119">
        <v>16</v>
      </c>
      <c r="G119" t="b">
        <v>0</v>
      </c>
      <c r="H119">
        <v>3</v>
      </c>
      <c r="I119">
        <v>1</v>
      </c>
      <c r="J119">
        <v>0.36</v>
      </c>
      <c r="K119" s="6">
        <v>0.33329999999999999</v>
      </c>
      <c r="L119">
        <v>0.71</v>
      </c>
      <c r="M119">
        <v>0.29849999999999999</v>
      </c>
      <c r="N119" s="4">
        <v>8</v>
      </c>
      <c r="O119" s="4">
        <v>95</v>
      </c>
      <c r="P119" s="4">
        <v>103</v>
      </c>
      <c r="Q119" s="9" t="str">
        <f>CHOOSE(FinalData[[#This Row],[Season]],"Spring","Summer","Fall","Winter")</f>
        <v>Spring</v>
      </c>
      <c r="R119" s="9" t="str">
        <f>CHOOSE(FinalData[[#This Row],[Weathersituation]],"Clear","Mist","Light Rain","Heavy Rain")</f>
        <v>Clear</v>
      </c>
      <c r="S119" s="9" t="str">
        <f>TEXT(FinalData[[#This Row],[Date]],"mmm")</f>
        <v>Feb</v>
      </c>
    </row>
    <row r="120" spans="1:19" x14ac:dyDescent="0.3">
      <c r="A120">
        <v>729</v>
      </c>
      <c r="B120" s="1">
        <v>40576</v>
      </c>
      <c r="C120">
        <v>1</v>
      </c>
      <c r="D120">
        <v>0</v>
      </c>
      <c r="E120">
        <v>2</v>
      </c>
      <c r="F120">
        <v>17</v>
      </c>
      <c r="G120" t="b">
        <v>0</v>
      </c>
      <c r="H120">
        <v>3</v>
      </c>
      <c r="I120">
        <v>1</v>
      </c>
      <c r="J120">
        <v>0.36</v>
      </c>
      <c r="K120" s="6">
        <v>0.31819999999999998</v>
      </c>
      <c r="L120">
        <v>0.53</v>
      </c>
      <c r="M120">
        <v>0.52239999999999998</v>
      </c>
      <c r="N120" s="4">
        <v>7</v>
      </c>
      <c r="O120" s="4">
        <v>183</v>
      </c>
      <c r="P120" s="4">
        <v>190</v>
      </c>
      <c r="Q120" s="9" t="str">
        <f>CHOOSE(FinalData[[#This Row],[Season]],"Spring","Summer","Fall","Winter")</f>
        <v>Spring</v>
      </c>
      <c r="R120" s="9" t="str">
        <f>CHOOSE(FinalData[[#This Row],[Weathersituation]],"Clear","Mist","Light Rain","Heavy Rain")</f>
        <v>Clear</v>
      </c>
      <c r="S120" s="9" t="str">
        <f>TEXT(FinalData[[#This Row],[Date]],"mmm")</f>
        <v>Feb</v>
      </c>
    </row>
    <row r="121" spans="1:19" x14ac:dyDescent="0.3">
      <c r="A121">
        <v>730</v>
      </c>
      <c r="B121" s="1">
        <v>40576</v>
      </c>
      <c r="C121">
        <v>1</v>
      </c>
      <c r="D121">
        <v>0</v>
      </c>
      <c r="E121">
        <v>2</v>
      </c>
      <c r="F121">
        <v>18</v>
      </c>
      <c r="G121" t="b">
        <v>0</v>
      </c>
      <c r="H121">
        <v>3</v>
      </c>
      <c r="I121">
        <v>1</v>
      </c>
      <c r="J121">
        <v>0.34</v>
      </c>
      <c r="K121" s="6">
        <v>0.28789999999999999</v>
      </c>
      <c r="L121">
        <v>0.42</v>
      </c>
      <c r="M121">
        <v>0.55220000000000002</v>
      </c>
      <c r="N121" s="4">
        <v>7</v>
      </c>
      <c r="O121" s="4">
        <v>175</v>
      </c>
      <c r="P121" s="4">
        <v>182</v>
      </c>
      <c r="Q121" s="9" t="str">
        <f>CHOOSE(FinalData[[#This Row],[Season]],"Spring","Summer","Fall","Winter")</f>
        <v>Spring</v>
      </c>
      <c r="R121" s="9" t="str">
        <f>CHOOSE(FinalData[[#This Row],[Weathersituation]],"Clear","Mist","Light Rain","Heavy Rain")</f>
        <v>Clear</v>
      </c>
      <c r="S121" s="9" t="str">
        <f>TEXT(FinalData[[#This Row],[Date]],"mmm")</f>
        <v>Feb</v>
      </c>
    </row>
    <row r="122" spans="1:19" x14ac:dyDescent="0.3">
      <c r="A122">
        <v>731</v>
      </c>
      <c r="B122" s="1">
        <v>40576</v>
      </c>
      <c r="C122">
        <v>1</v>
      </c>
      <c r="D122">
        <v>0</v>
      </c>
      <c r="E122">
        <v>2</v>
      </c>
      <c r="F122">
        <v>19</v>
      </c>
      <c r="G122" t="b">
        <v>0</v>
      </c>
      <c r="H122">
        <v>3</v>
      </c>
      <c r="I122">
        <v>1</v>
      </c>
      <c r="J122">
        <v>0.28000000000000003</v>
      </c>
      <c r="K122" s="6">
        <v>0.2424</v>
      </c>
      <c r="L122">
        <v>0.45</v>
      </c>
      <c r="M122">
        <v>0.49249999999999999</v>
      </c>
      <c r="N122" s="4">
        <v>3</v>
      </c>
      <c r="O122" s="4">
        <v>88</v>
      </c>
      <c r="P122" s="4">
        <v>91</v>
      </c>
      <c r="Q122" s="9" t="str">
        <f>CHOOSE(FinalData[[#This Row],[Season]],"Spring","Summer","Fall","Winter")</f>
        <v>Spring</v>
      </c>
      <c r="R122" s="9" t="str">
        <f>CHOOSE(FinalData[[#This Row],[Weathersituation]],"Clear","Mist","Light Rain","Heavy Rain")</f>
        <v>Clear</v>
      </c>
      <c r="S122" s="9" t="str">
        <f>TEXT(FinalData[[#This Row],[Date]],"mmm")</f>
        <v>Feb</v>
      </c>
    </row>
    <row r="123" spans="1:19" x14ac:dyDescent="0.3">
      <c r="A123">
        <v>732</v>
      </c>
      <c r="B123" s="1">
        <v>40576</v>
      </c>
      <c r="C123">
        <v>1</v>
      </c>
      <c r="D123">
        <v>0</v>
      </c>
      <c r="E123">
        <v>2</v>
      </c>
      <c r="F123">
        <v>20</v>
      </c>
      <c r="G123" t="b">
        <v>0</v>
      </c>
      <c r="H123">
        <v>3</v>
      </c>
      <c r="I123">
        <v>1</v>
      </c>
      <c r="J123">
        <v>0.24</v>
      </c>
      <c r="K123" s="6">
        <v>0.19700000000000001</v>
      </c>
      <c r="L123">
        <v>0.48</v>
      </c>
      <c r="M123">
        <v>0.55220000000000002</v>
      </c>
      <c r="N123" s="4">
        <v>4</v>
      </c>
      <c r="O123" s="4">
        <v>71</v>
      </c>
      <c r="P123" s="4">
        <v>75</v>
      </c>
      <c r="Q123" s="9" t="str">
        <f>CHOOSE(FinalData[[#This Row],[Season]],"Spring","Summer","Fall","Winter")</f>
        <v>Spring</v>
      </c>
      <c r="R123" s="9" t="str">
        <f>CHOOSE(FinalData[[#This Row],[Weathersituation]],"Clear","Mist","Light Rain","Heavy Rain")</f>
        <v>Clear</v>
      </c>
      <c r="S123" s="9" t="str">
        <f>TEXT(FinalData[[#This Row],[Date]],"mmm")</f>
        <v>Feb</v>
      </c>
    </row>
    <row r="124" spans="1:19" x14ac:dyDescent="0.3">
      <c r="A124">
        <v>733</v>
      </c>
      <c r="B124" s="1">
        <v>40576</v>
      </c>
      <c r="C124">
        <v>1</v>
      </c>
      <c r="D124">
        <v>0</v>
      </c>
      <c r="E124">
        <v>2</v>
      </c>
      <c r="F124">
        <v>21</v>
      </c>
      <c r="G124" t="b">
        <v>0</v>
      </c>
      <c r="H124">
        <v>3</v>
      </c>
      <c r="I124">
        <v>1</v>
      </c>
      <c r="J124">
        <v>0.22</v>
      </c>
      <c r="K124" s="6">
        <v>0.19700000000000001</v>
      </c>
      <c r="L124">
        <v>0.47</v>
      </c>
      <c r="M124">
        <v>0.32840000000000003</v>
      </c>
      <c r="N124" s="4">
        <v>1</v>
      </c>
      <c r="O124" s="4">
        <v>62</v>
      </c>
      <c r="P124" s="4">
        <v>63</v>
      </c>
      <c r="Q124" s="9" t="str">
        <f>CHOOSE(FinalData[[#This Row],[Season]],"Spring","Summer","Fall","Winter")</f>
        <v>Spring</v>
      </c>
      <c r="R124" s="9" t="str">
        <f>CHOOSE(FinalData[[#This Row],[Weathersituation]],"Clear","Mist","Light Rain","Heavy Rain")</f>
        <v>Clear</v>
      </c>
      <c r="S124" s="9" t="str">
        <f>TEXT(FinalData[[#This Row],[Date]],"mmm")</f>
        <v>Feb</v>
      </c>
    </row>
    <row r="125" spans="1:19" x14ac:dyDescent="0.3">
      <c r="A125">
        <v>734</v>
      </c>
      <c r="B125" s="1">
        <v>40576</v>
      </c>
      <c r="C125">
        <v>1</v>
      </c>
      <c r="D125">
        <v>0</v>
      </c>
      <c r="E125">
        <v>2</v>
      </c>
      <c r="F125">
        <v>22</v>
      </c>
      <c r="G125" t="b">
        <v>0</v>
      </c>
      <c r="H125">
        <v>3</v>
      </c>
      <c r="I125">
        <v>1</v>
      </c>
      <c r="J125">
        <v>0.22</v>
      </c>
      <c r="K125" s="6">
        <v>0.21210000000000001</v>
      </c>
      <c r="L125">
        <v>0.44</v>
      </c>
      <c r="M125">
        <v>0.25369999999999998</v>
      </c>
      <c r="N125" s="4">
        <v>5</v>
      </c>
      <c r="O125" s="4">
        <v>35</v>
      </c>
      <c r="P125" s="4">
        <v>40</v>
      </c>
      <c r="Q125" s="9" t="str">
        <f>CHOOSE(FinalData[[#This Row],[Season]],"Spring","Summer","Fall","Winter")</f>
        <v>Spring</v>
      </c>
      <c r="R125" s="9" t="str">
        <f>CHOOSE(FinalData[[#This Row],[Weathersituation]],"Clear","Mist","Light Rain","Heavy Rain")</f>
        <v>Clear</v>
      </c>
      <c r="S125" s="9" t="str">
        <f>TEXT(FinalData[[#This Row],[Date]],"mmm")</f>
        <v>Feb</v>
      </c>
    </row>
    <row r="126" spans="1:19" x14ac:dyDescent="0.3">
      <c r="A126">
        <v>735</v>
      </c>
      <c r="B126" s="1">
        <v>40576</v>
      </c>
      <c r="C126">
        <v>1</v>
      </c>
      <c r="D126">
        <v>0</v>
      </c>
      <c r="E126">
        <v>2</v>
      </c>
      <c r="F126">
        <v>23</v>
      </c>
      <c r="G126" t="b">
        <v>0</v>
      </c>
      <c r="H126">
        <v>3</v>
      </c>
      <c r="I126">
        <v>1</v>
      </c>
      <c r="J126">
        <v>0.2</v>
      </c>
      <c r="K126" s="6">
        <v>0.16669999999999999</v>
      </c>
      <c r="L126">
        <v>0.44</v>
      </c>
      <c r="M126">
        <v>0.44779999999999998</v>
      </c>
      <c r="N126" s="4">
        <v>3</v>
      </c>
      <c r="O126" s="4">
        <v>29</v>
      </c>
      <c r="P126" s="4">
        <v>32</v>
      </c>
      <c r="Q126" s="9" t="str">
        <f>CHOOSE(FinalData[[#This Row],[Season]],"Spring","Summer","Fall","Winter")</f>
        <v>Spring</v>
      </c>
      <c r="R126" s="9" t="str">
        <f>CHOOSE(FinalData[[#This Row],[Weathersituation]],"Clear","Mist","Light Rain","Heavy Rain")</f>
        <v>Clear</v>
      </c>
      <c r="S126" s="9" t="str">
        <f>TEXT(FinalData[[#This Row],[Date]],"mmm")</f>
        <v>Feb</v>
      </c>
    </row>
    <row r="127" spans="1:19" x14ac:dyDescent="0.3">
      <c r="A127">
        <v>736</v>
      </c>
      <c r="B127" s="1">
        <v>40577</v>
      </c>
      <c r="C127">
        <v>1</v>
      </c>
      <c r="D127">
        <v>0</v>
      </c>
      <c r="E127">
        <v>2</v>
      </c>
      <c r="F127">
        <v>0</v>
      </c>
      <c r="G127" t="b">
        <v>0</v>
      </c>
      <c r="H127">
        <v>4</v>
      </c>
      <c r="I127">
        <v>1</v>
      </c>
      <c r="J127">
        <v>0.2</v>
      </c>
      <c r="K127" s="6">
        <v>0.16669999999999999</v>
      </c>
      <c r="L127">
        <v>0.4</v>
      </c>
      <c r="M127">
        <v>0.44779999999999998</v>
      </c>
      <c r="N127" s="4">
        <v>1</v>
      </c>
      <c r="O127" s="4">
        <v>11</v>
      </c>
      <c r="P127" s="4">
        <v>12</v>
      </c>
      <c r="Q127" s="9" t="str">
        <f>CHOOSE(FinalData[[#This Row],[Season]],"Spring","Summer","Fall","Winter")</f>
        <v>Spring</v>
      </c>
      <c r="R127" s="9" t="str">
        <f>CHOOSE(FinalData[[#This Row],[Weathersituation]],"Clear","Mist","Light Rain","Heavy Rain")</f>
        <v>Clear</v>
      </c>
      <c r="S127" s="9" t="str">
        <f>TEXT(FinalData[[#This Row],[Date]],"mmm")</f>
        <v>Feb</v>
      </c>
    </row>
    <row r="128" spans="1:19" x14ac:dyDescent="0.3">
      <c r="A128">
        <v>737</v>
      </c>
      <c r="B128" s="1">
        <v>40577</v>
      </c>
      <c r="C128">
        <v>1</v>
      </c>
      <c r="D128">
        <v>0</v>
      </c>
      <c r="E128">
        <v>2</v>
      </c>
      <c r="F128">
        <v>1</v>
      </c>
      <c r="G128" t="b">
        <v>0</v>
      </c>
      <c r="H128">
        <v>4</v>
      </c>
      <c r="I128">
        <v>1</v>
      </c>
      <c r="J128">
        <v>0.2</v>
      </c>
      <c r="K128" s="6">
        <v>0.1515</v>
      </c>
      <c r="L128">
        <v>0.44</v>
      </c>
      <c r="M128">
        <v>0.52239999999999998</v>
      </c>
      <c r="N128" s="4">
        <v>0</v>
      </c>
      <c r="O128" s="4">
        <v>5</v>
      </c>
      <c r="P128" s="4">
        <v>5</v>
      </c>
      <c r="Q128" s="9" t="str">
        <f>CHOOSE(FinalData[[#This Row],[Season]],"Spring","Summer","Fall","Winter")</f>
        <v>Spring</v>
      </c>
      <c r="R128" s="9" t="str">
        <f>CHOOSE(FinalData[[#This Row],[Weathersituation]],"Clear","Mist","Light Rain","Heavy Rain")</f>
        <v>Clear</v>
      </c>
      <c r="S128" s="9" t="str">
        <f>TEXT(FinalData[[#This Row],[Date]],"mmm")</f>
        <v>Feb</v>
      </c>
    </row>
    <row r="129" spans="1:19" x14ac:dyDescent="0.3">
      <c r="A129">
        <v>738</v>
      </c>
      <c r="B129" s="1">
        <v>40577</v>
      </c>
      <c r="C129">
        <v>1</v>
      </c>
      <c r="D129">
        <v>0</v>
      </c>
      <c r="E129">
        <v>2</v>
      </c>
      <c r="F129">
        <v>2</v>
      </c>
      <c r="G129" t="b">
        <v>0</v>
      </c>
      <c r="H129">
        <v>4</v>
      </c>
      <c r="I129">
        <v>1</v>
      </c>
      <c r="J129">
        <v>0.18</v>
      </c>
      <c r="K129" s="6">
        <v>0.16669999999999999</v>
      </c>
      <c r="L129">
        <v>0.43</v>
      </c>
      <c r="M129">
        <v>0.25369999999999998</v>
      </c>
      <c r="N129" s="4">
        <v>0</v>
      </c>
      <c r="O129" s="4">
        <v>2</v>
      </c>
      <c r="P129" s="4">
        <v>2</v>
      </c>
      <c r="Q129" s="9" t="str">
        <f>CHOOSE(FinalData[[#This Row],[Season]],"Spring","Summer","Fall","Winter")</f>
        <v>Spring</v>
      </c>
      <c r="R129" s="9" t="str">
        <f>CHOOSE(FinalData[[#This Row],[Weathersituation]],"Clear","Mist","Light Rain","Heavy Rain")</f>
        <v>Clear</v>
      </c>
      <c r="S129" s="9" t="str">
        <f>TEXT(FinalData[[#This Row],[Date]],"mmm")</f>
        <v>Feb</v>
      </c>
    </row>
    <row r="130" spans="1:19" x14ac:dyDescent="0.3">
      <c r="A130">
        <v>739</v>
      </c>
      <c r="B130" s="1">
        <v>40577</v>
      </c>
      <c r="C130">
        <v>1</v>
      </c>
      <c r="D130">
        <v>0</v>
      </c>
      <c r="E130">
        <v>2</v>
      </c>
      <c r="F130">
        <v>3</v>
      </c>
      <c r="G130" t="b">
        <v>0</v>
      </c>
      <c r="H130">
        <v>4</v>
      </c>
      <c r="I130">
        <v>1</v>
      </c>
      <c r="J130">
        <v>0.18</v>
      </c>
      <c r="K130" s="6">
        <v>0.16669999999999999</v>
      </c>
      <c r="L130">
        <v>0.43</v>
      </c>
      <c r="M130">
        <v>0.25369999999999998</v>
      </c>
      <c r="N130" s="4">
        <v>0</v>
      </c>
      <c r="O130" s="4">
        <v>1</v>
      </c>
      <c r="P130" s="4">
        <v>1</v>
      </c>
      <c r="Q130" s="9" t="str">
        <f>CHOOSE(FinalData[[#This Row],[Season]],"Spring","Summer","Fall","Winter")</f>
        <v>Spring</v>
      </c>
      <c r="R130" s="9" t="str">
        <f>CHOOSE(FinalData[[#This Row],[Weathersituation]],"Clear","Mist","Light Rain","Heavy Rain")</f>
        <v>Clear</v>
      </c>
      <c r="S130" s="9" t="str">
        <f>TEXT(FinalData[[#This Row],[Date]],"mmm")</f>
        <v>Feb</v>
      </c>
    </row>
    <row r="131" spans="1:19" x14ac:dyDescent="0.3">
      <c r="A131">
        <v>740</v>
      </c>
      <c r="B131" s="1">
        <v>40577</v>
      </c>
      <c r="C131">
        <v>1</v>
      </c>
      <c r="D131">
        <v>0</v>
      </c>
      <c r="E131">
        <v>2</v>
      </c>
      <c r="F131">
        <v>5</v>
      </c>
      <c r="G131" t="b">
        <v>0</v>
      </c>
      <c r="H131">
        <v>4</v>
      </c>
      <c r="I131">
        <v>1</v>
      </c>
      <c r="J131">
        <v>0.16</v>
      </c>
      <c r="K131" s="6">
        <v>0.13639999999999999</v>
      </c>
      <c r="L131">
        <v>0.5</v>
      </c>
      <c r="M131">
        <v>0.29849999999999999</v>
      </c>
      <c r="N131" s="4">
        <v>0</v>
      </c>
      <c r="O131" s="4">
        <v>2</v>
      </c>
      <c r="P131" s="4">
        <v>2</v>
      </c>
      <c r="Q131" s="9" t="str">
        <f>CHOOSE(FinalData[[#This Row],[Season]],"Spring","Summer","Fall","Winter")</f>
        <v>Spring</v>
      </c>
      <c r="R131" s="9" t="str">
        <f>CHOOSE(FinalData[[#This Row],[Weathersituation]],"Clear","Mist","Light Rain","Heavy Rain")</f>
        <v>Clear</v>
      </c>
      <c r="S131" s="9" t="str">
        <f>TEXT(FinalData[[#This Row],[Date]],"mmm")</f>
        <v>Feb</v>
      </c>
    </row>
    <row r="132" spans="1:19" x14ac:dyDescent="0.3">
      <c r="A132">
        <v>741</v>
      </c>
      <c r="B132" s="1">
        <v>40577</v>
      </c>
      <c r="C132">
        <v>1</v>
      </c>
      <c r="D132">
        <v>0</v>
      </c>
      <c r="E132">
        <v>2</v>
      </c>
      <c r="F132">
        <v>6</v>
      </c>
      <c r="G132" t="b">
        <v>0</v>
      </c>
      <c r="H132">
        <v>4</v>
      </c>
      <c r="I132">
        <v>1</v>
      </c>
      <c r="J132">
        <v>0.16</v>
      </c>
      <c r="K132" s="6">
        <v>0.13639999999999999</v>
      </c>
      <c r="L132">
        <v>0.43</v>
      </c>
      <c r="M132">
        <v>0.35820000000000002</v>
      </c>
      <c r="N132" s="4">
        <v>0</v>
      </c>
      <c r="O132" s="4">
        <v>39</v>
      </c>
      <c r="P132" s="4">
        <v>39</v>
      </c>
      <c r="Q132" s="9" t="str">
        <f>CHOOSE(FinalData[[#This Row],[Season]],"Spring","Summer","Fall","Winter")</f>
        <v>Spring</v>
      </c>
      <c r="R132" s="9" t="str">
        <f>CHOOSE(FinalData[[#This Row],[Weathersituation]],"Clear","Mist","Light Rain","Heavy Rain")</f>
        <v>Clear</v>
      </c>
      <c r="S132" s="9" t="str">
        <f>TEXT(FinalData[[#This Row],[Date]],"mmm")</f>
        <v>Feb</v>
      </c>
    </row>
    <row r="133" spans="1:19" x14ac:dyDescent="0.3">
      <c r="A133">
        <v>742</v>
      </c>
      <c r="B133" s="1">
        <v>40577</v>
      </c>
      <c r="C133">
        <v>1</v>
      </c>
      <c r="D133">
        <v>0</v>
      </c>
      <c r="E133">
        <v>2</v>
      </c>
      <c r="F133">
        <v>7</v>
      </c>
      <c r="G133" t="b">
        <v>0</v>
      </c>
      <c r="H133">
        <v>4</v>
      </c>
      <c r="I133">
        <v>1</v>
      </c>
      <c r="J133">
        <v>0.14000000000000001</v>
      </c>
      <c r="K133" s="6">
        <v>0.1212</v>
      </c>
      <c r="L133">
        <v>0.5</v>
      </c>
      <c r="M133">
        <v>0.32840000000000003</v>
      </c>
      <c r="N133" s="4">
        <v>1</v>
      </c>
      <c r="O133" s="4">
        <v>86</v>
      </c>
      <c r="P133" s="4">
        <v>87</v>
      </c>
      <c r="Q133" s="9" t="str">
        <f>CHOOSE(FinalData[[#This Row],[Season]],"Spring","Summer","Fall","Winter")</f>
        <v>Spring</v>
      </c>
      <c r="R133" s="9" t="str">
        <f>CHOOSE(FinalData[[#This Row],[Weathersituation]],"Clear","Mist","Light Rain","Heavy Rain")</f>
        <v>Clear</v>
      </c>
      <c r="S133" s="9" t="str">
        <f>TEXT(FinalData[[#This Row],[Date]],"mmm")</f>
        <v>Feb</v>
      </c>
    </row>
    <row r="134" spans="1:19" x14ac:dyDescent="0.3">
      <c r="A134">
        <v>743</v>
      </c>
      <c r="B134" s="1">
        <v>40577</v>
      </c>
      <c r="C134">
        <v>1</v>
      </c>
      <c r="D134">
        <v>0</v>
      </c>
      <c r="E134">
        <v>2</v>
      </c>
      <c r="F134">
        <v>8</v>
      </c>
      <c r="G134" t="b">
        <v>0</v>
      </c>
      <c r="H134">
        <v>4</v>
      </c>
      <c r="I134">
        <v>1</v>
      </c>
      <c r="J134">
        <v>0.14000000000000001</v>
      </c>
      <c r="K134" s="6">
        <v>0.1212</v>
      </c>
      <c r="L134">
        <v>0.5</v>
      </c>
      <c r="M134">
        <v>0.35820000000000002</v>
      </c>
      <c r="N134" s="4">
        <v>4</v>
      </c>
      <c r="O134" s="4">
        <v>184</v>
      </c>
      <c r="P134" s="4">
        <v>188</v>
      </c>
      <c r="Q134" s="9" t="str">
        <f>CHOOSE(FinalData[[#This Row],[Season]],"Spring","Summer","Fall","Winter")</f>
        <v>Spring</v>
      </c>
      <c r="R134" s="9" t="str">
        <f>CHOOSE(FinalData[[#This Row],[Weathersituation]],"Clear","Mist","Light Rain","Heavy Rain")</f>
        <v>Clear</v>
      </c>
      <c r="S134" s="9" t="str">
        <f>TEXT(FinalData[[#This Row],[Date]],"mmm")</f>
        <v>Feb</v>
      </c>
    </row>
    <row r="135" spans="1:19" x14ac:dyDescent="0.3">
      <c r="A135">
        <v>744</v>
      </c>
      <c r="B135" s="1">
        <v>40577</v>
      </c>
      <c r="C135">
        <v>1</v>
      </c>
      <c r="D135">
        <v>0</v>
      </c>
      <c r="E135">
        <v>2</v>
      </c>
      <c r="F135">
        <v>9</v>
      </c>
      <c r="G135" t="b">
        <v>0</v>
      </c>
      <c r="H135">
        <v>4</v>
      </c>
      <c r="I135">
        <v>1</v>
      </c>
      <c r="J135">
        <v>0.16</v>
      </c>
      <c r="K135" s="6">
        <v>0.13639999999999999</v>
      </c>
      <c r="L135">
        <v>0.47</v>
      </c>
      <c r="M135">
        <v>0.29849999999999999</v>
      </c>
      <c r="N135" s="4">
        <v>6</v>
      </c>
      <c r="O135" s="4">
        <v>127</v>
      </c>
      <c r="P135" s="4">
        <v>133</v>
      </c>
      <c r="Q135" s="9" t="str">
        <f>CHOOSE(FinalData[[#This Row],[Season]],"Spring","Summer","Fall","Winter")</f>
        <v>Spring</v>
      </c>
      <c r="R135" s="9" t="str">
        <f>CHOOSE(FinalData[[#This Row],[Weathersituation]],"Clear","Mist","Light Rain","Heavy Rain")</f>
        <v>Clear</v>
      </c>
      <c r="S135" s="9" t="str">
        <f>TEXT(FinalData[[#This Row],[Date]],"mmm")</f>
        <v>Feb</v>
      </c>
    </row>
    <row r="136" spans="1:19" x14ac:dyDescent="0.3">
      <c r="A136">
        <v>745</v>
      </c>
      <c r="B136" s="1">
        <v>40577</v>
      </c>
      <c r="C136">
        <v>1</v>
      </c>
      <c r="D136">
        <v>0</v>
      </c>
      <c r="E136">
        <v>2</v>
      </c>
      <c r="F136">
        <v>10</v>
      </c>
      <c r="G136" t="b">
        <v>0</v>
      </c>
      <c r="H136">
        <v>4</v>
      </c>
      <c r="I136">
        <v>1</v>
      </c>
      <c r="J136">
        <v>0.18</v>
      </c>
      <c r="K136" s="6">
        <v>0.1515</v>
      </c>
      <c r="L136">
        <v>0.43</v>
      </c>
      <c r="M136">
        <v>0.32840000000000003</v>
      </c>
      <c r="N136" s="4">
        <v>2</v>
      </c>
      <c r="O136" s="4">
        <v>50</v>
      </c>
      <c r="P136" s="4">
        <v>52</v>
      </c>
      <c r="Q136" s="9" t="str">
        <f>CHOOSE(FinalData[[#This Row],[Season]],"Spring","Summer","Fall","Winter")</f>
        <v>Spring</v>
      </c>
      <c r="R136" s="9" t="str">
        <f>CHOOSE(FinalData[[#This Row],[Weathersituation]],"Clear","Mist","Light Rain","Heavy Rain")</f>
        <v>Clear</v>
      </c>
      <c r="S136" s="9" t="str">
        <f>TEXT(FinalData[[#This Row],[Date]],"mmm")</f>
        <v>Feb</v>
      </c>
    </row>
    <row r="137" spans="1:19" x14ac:dyDescent="0.3">
      <c r="A137">
        <v>746</v>
      </c>
      <c r="B137" s="1">
        <v>40577</v>
      </c>
      <c r="C137">
        <v>1</v>
      </c>
      <c r="D137">
        <v>0</v>
      </c>
      <c r="E137">
        <v>2</v>
      </c>
      <c r="F137">
        <v>11</v>
      </c>
      <c r="G137" t="b">
        <v>0</v>
      </c>
      <c r="H137">
        <v>4</v>
      </c>
      <c r="I137">
        <v>1</v>
      </c>
      <c r="J137">
        <v>0.18</v>
      </c>
      <c r="K137" s="6">
        <v>0.13639999999999999</v>
      </c>
      <c r="L137">
        <v>0.43</v>
      </c>
      <c r="M137">
        <v>0.44779999999999998</v>
      </c>
      <c r="N137" s="4">
        <v>9</v>
      </c>
      <c r="O137" s="4">
        <v>55</v>
      </c>
      <c r="P137" s="4">
        <v>64</v>
      </c>
      <c r="Q137" s="9" t="str">
        <f>CHOOSE(FinalData[[#This Row],[Season]],"Spring","Summer","Fall","Winter")</f>
        <v>Spring</v>
      </c>
      <c r="R137" s="9" t="str">
        <f>CHOOSE(FinalData[[#This Row],[Weathersituation]],"Clear","Mist","Light Rain","Heavy Rain")</f>
        <v>Clear</v>
      </c>
      <c r="S137" s="9" t="str">
        <f>TEXT(FinalData[[#This Row],[Date]],"mmm")</f>
        <v>Feb</v>
      </c>
    </row>
    <row r="138" spans="1:19" x14ac:dyDescent="0.3">
      <c r="A138">
        <v>747</v>
      </c>
      <c r="B138" s="1">
        <v>40577</v>
      </c>
      <c r="C138">
        <v>1</v>
      </c>
      <c r="D138">
        <v>0</v>
      </c>
      <c r="E138">
        <v>2</v>
      </c>
      <c r="F138">
        <v>12</v>
      </c>
      <c r="G138" t="b">
        <v>0</v>
      </c>
      <c r="H138">
        <v>4</v>
      </c>
      <c r="I138">
        <v>1</v>
      </c>
      <c r="J138">
        <v>0.2</v>
      </c>
      <c r="K138" s="6">
        <v>0.18179999999999999</v>
      </c>
      <c r="L138">
        <v>0.4</v>
      </c>
      <c r="M138">
        <v>0.35820000000000002</v>
      </c>
      <c r="N138" s="4">
        <v>2</v>
      </c>
      <c r="O138" s="4">
        <v>67</v>
      </c>
      <c r="P138" s="4">
        <v>69</v>
      </c>
      <c r="Q138" s="9" t="str">
        <f>CHOOSE(FinalData[[#This Row],[Season]],"Spring","Summer","Fall","Winter")</f>
        <v>Spring</v>
      </c>
      <c r="R138" s="9" t="str">
        <f>CHOOSE(FinalData[[#This Row],[Weathersituation]],"Clear","Mist","Light Rain","Heavy Rain")</f>
        <v>Clear</v>
      </c>
      <c r="S138" s="9" t="str">
        <f>TEXT(FinalData[[#This Row],[Date]],"mmm")</f>
        <v>Feb</v>
      </c>
    </row>
    <row r="139" spans="1:19" x14ac:dyDescent="0.3">
      <c r="A139">
        <v>748</v>
      </c>
      <c r="B139" s="1">
        <v>40577</v>
      </c>
      <c r="C139">
        <v>1</v>
      </c>
      <c r="D139">
        <v>0</v>
      </c>
      <c r="E139">
        <v>2</v>
      </c>
      <c r="F139">
        <v>13</v>
      </c>
      <c r="G139" t="b">
        <v>0</v>
      </c>
      <c r="H139">
        <v>4</v>
      </c>
      <c r="I139">
        <v>1</v>
      </c>
      <c r="J139">
        <v>0.2</v>
      </c>
      <c r="K139" s="6">
        <v>0.16669999999999999</v>
      </c>
      <c r="L139">
        <v>0.4</v>
      </c>
      <c r="M139">
        <v>0.41789999999999999</v>
      </c>
      <c r="N139" s="4">
        <v>4</v>
      </c>
      <c r="O139" s="4">
        <v>47</v>
      </c>
      <c r="P139" s="4">
        <v>51</v>
      </c>
      <c r="Q139" s="9" t="str">
        <f>CHOOSE(FinalData[[#This Row],[Season]],"Spring","Summer","Fall","Winter")</f>
        <v>Spring</v>
      </c>
      <c r="R139" s="9" t="str">
        <f>CHOOSE(FinalData[[#This Row],[Weathersituation]],"Clear","Mist","Light Rain","Heavy Rain")</f>
        <v>Clear</v>
      </c>
      <c r="S139" s="9" t="str">
        <f>TEXT(FinalData[[#This Row],[Date]],"mmm")</f>
        <v>Feb</v>
      </c>
    </row>
    <row r="140" spans="1:19" x14ac:dyDescent="0.3">
      <c r="A140">
        <v>749</v>
      </c>
      <c r="B140" s="1">
        <v>40577</v>
      </c>
      <c r="C140">
        <v>1</v>
      </c>
      <c r="D140">
        <v>0</v>
      </c>
      <c r="E140">
        <v>2</v>
      </c>
      <c r="F140">
        <v>14</v>
      </c>
      <c r="G140" t="b">
        <v>0</v>
      </c>
      <c r="H140">
        <v>4</v>
      </c>
      <c r="I140">
        <v>1</v>
      </c>
      <c r="J140">
        <v>0.22</v>
      </c>
      <c r="K140" s="6">
        <v>0.19700000000000001</v>
      </c>
      <c r="L140">
        <v>0.37</v>
      </c>
      <c r="M140">
        <v>0.3881</v>
      </c>
      <c r="N140" s="4">
        <v>4</v>
      </c>
      <c r="O140" s="4">
        <v>43</v>
      </c>
      <c r="P140" s="4">
        <v>47</v>
      </c>
      <c r="Q140" s="9" t="str">
        <f>CHOOSE(FinalData[[#This Row],[Season]],"Spring","Summer","Fall","Winter")</f>
        <v>Spring</v>
      </c>
      <c r="R140" s="9" t="str">
        <f>CHOOSE(FinalData[[#This Row],[Weathersituation]],"Clear","Mist","Light Rain","Heavy Rain")</f>
        <v>Clear</v>
      </c>
      <c r="S140" s="9" t="str">
        <f>TEXT(FinalData[[#This Row],[Date]],"mmm")</f>
        <v>Feb</v>
      </c>
    </row>
    <row r="141" spans="1:19" x14ac:dyDescent="0.3">
      <c r="A141">
        <v>750</v>
      </c>
      <c r="B141" s="1">
        <v>40577</v>
      </c>
      <c r="C141">
        <v>1</v>
      </c>
      <c r="D141">
        <v>0</v>
      </c>
      <c r="E141">
        <v>2</v>
      </c>
      <c r="F141">
        <v>15</v>
      </c>
      <c r="G141" t="b">
        <v>0</v>
      </c>
      <c r="H141">
        <v>4</v>
      </c>
      <c r="I141">
        <v>1</v>
      </c>
      <c r="J141">
        <v>0.22</v>
      </c>
      <c r="K141" s="6">
        <v>0.19700000000000001</v>
      </c>
      <c r="L141">
        <v>0.37</v>
      </c>
      <c r="M141">
        <v>0.32840000000000003</v>
      </c>
      <c r="N141" s="4">
        <v>4</v>
      </c>
      <c r="O141" s="4">
        <v>56</v>
      </c>
      <c r="P141" s="4">
        <v>60</v>
      </c>
      <c r="Q141" s="9" t="str">
        <f>CHOOSE(FinalData[[#This Row],[Season]],"Spring","Summer","Fall","Winter")</f>
        <v>Spring</v>
      </c>
      <c r="R141" s="9" t="str">
        <f>CHOOSE(FinalData[[#This Row],[Weathersituation]],"Clear","Mist","Light Rain","Heavy Rain")</f>
        <v>Clear</v>
      </c>
      <c r="S141" s="9" t="str">
        <f>TEXT(FinalData[[#This Row],[Date]],"mmm")</f>
        <v>Feb</v>
      </c>
    </row>
    <row r="142" spans="1:19" x14ac:dyDescent="0.3">
      <c r="A142">
        <v>751</v>
      </c>
      <c r="B142" s="1">
        <v>40577</v>
      </c>
      <c r="C142">
        <v>1</v>
      </c>
      <c r="D142">
        <v>0</v>
      </c>
      <c r="E142">
        <v>2</v>
      </c>
      <c r="F142">
        <v>16</v>
      </c>
      <c r="G142" t="b">
        <v>0</v>
      </c>
      <c r="H142">
        <v>4</v>
      </c>
      <c r="I142">
        <v>1</v>
      </c>
      <c r="J142">
        <v>0.22</v>
      </c>
      <c r="K142" s="6">
        <v>0.21210000000000001</v>
      </c>
      <c r="L142">
        <v>0.37</v>
      </c>
      <c r="M142">
        <v>0.25369999999999998</v>
      </c>
      <c r="N142" s="4">
        <v>5</v>
      </c>
      <c r="O142" s="4">
        <v>73</v>
      </c>
      <c r="P142" s="4">
        <v>78</v>
      </c>
      <c r="Q142" s="9" t="str">
        <f>CHOOSE(FinalData[[#This Row],[Season]],"Spring","Summer","Fall","Winter")</f>
        <v>Spring</v>
      </c>
      <c r="R142" s="9" t="str">
        <f>CHOOSE(FinalData[[#This Row],[Weathersituation]],"Clear","Mist","Light Rain","Heavy Rain")</f>
        <v>Clear</v>
      </c>
      <c r="S142" s="9" t="str">
        <f>TEXT(FinalData[[#This Row],[Date]],"mmm")</f>
        <v>Feb</v>
      </c>
    </row>
    <row r="143" spans="1:19" x14ac:dyDescent="0.3">
      <c r="A143">
        <v>752</v>
      </c>
      <c r="B143" s="1">
        <v>40577</v>
      </c>
      <c r="C143">
        <v>1</v>
      </c>
      <c r="D143">
        <v>0</v>
      </c>
      <c r="E143">
        <v>2</v>
      </c>
      <c r="F143">
        <v>17</v>
      </c>
      <c r="G143" t="b">
        <v>0</v>
      </c>
      <c r="H143">
        <v>4</v>
      </c>
      <c r="I143">
        <v>1</v>
      </c>
      <c r="J143">
        <v>0.2</v>
      </c>
      <c r="K143" s="6">
        <v>0.19700000000000001</v>
      </c>
      <c r="L143">
        <v>0.4</v>
      </c>
      <c r="M143">
        <v>0.19400000000000001</v>
      </c>
      <c r="N143" s="4">
        <v>5</v>
      </c>
      <c r="O143" s="4">
        <v>170</v>
      </c>
      <c r="P143" s="4">
        <v>175</v>
      </c>
      <c r="Q143" s="9" t="str">
        <f>CHOOSE(FinalData[[#This Row],[Season]],"Spring","Summer","Fall","Winter")</f>
        <v>Spring</v>
      </c>
      <c r="R143" s="9" t="str">
        <f>CHOOSE(FinalData[[#This Row],[Weathersituation]],"Clear","Mist","Light Rain","Heavy Rain")</f>
        <v>Clear</v>
      </c>
      <c r="S143" s="9" t="str">
        <f>TEXT(FinalData[[#This Row],[Date]],"mmm")</f>
        <v>Feb</v>
      </c>
    </row>
    <row r="144" spans="1:19" x14ac:dyDescent="0.3">
      <c r="A144">
        <v>753</v>
      </c>
      <c r="B144" s="1">
        <v>40577</v>
      </c>
      <c r="C144">
        <v>1</v>
      </c>
      <c r="D144">
        <v>0</v>
      </c>
      <c r="E144">
        <v>2</v>
      </c>
      <c r="F144">
        <v>18</v>
      </c>
      <c r="G144" t="b">
        <v>0</v>
      </c>
      <c r="H144">
        <v>4</v>
      </c>
      <c r="I144">
        <v>1</v>
      </c>
      <c r="J144">
        <v>0.2</v>
      </c>
      <c r="K144" s="6">
        <v>0.21210000000000001</v>
      </c>
      <c r="L144">
        <v>0.4</v>
      </c>
      <c r="M144">
        <v>0.16420000000000001</v>
      </c>
      <c r="N144" s="4">
        <v>2</v>
      </c>
      <c r="O144" s="4">
        <v>145</v>
      </c>
      <c r="P144" s="4">
        <v>147</v>
      </c>
      <c r="Q144" s="9" t="str">
        <f>CHOOSE(FinalData[[#This Row],[Season]],"Spring","Summer","Fall","Winter")</f>
        <v>Spring</v>
      </c>
      <c r="R144" s="9" t="str">
        <f>CHOOSE(FinalData[[#This Row],[Weathersituation]],"Clear","Mist","Light Rain","Heavy Rain")</f>
        <v>Clear</v>
      </c>
      <c r="S144" s="9" t="str">
        <f>TEXT(FinalData[[#This Row],[Date]],"mmm")</f>
        <v>Feb</v>
      </c>
    </row>
    <row r="145" spans="1:19" x14ac:dyDescent="0.3">
      <c r="A145">
        <v>754</v>
      </c>
      <c r="B145" s="1">
        <v>40577</v>
      </c>
      <c r="C145">
        <v>1</v>
      </c>
      <c r="D145">
        <v>0</v>
      </c>
      <c r="E145">
        <v>2</v>
      </c>
      <c r="F145">
        <v>19</v>
      </c>
      <c r="G145" t="b">
        <v>0</v>
      </c>
      <c r="H145">
        <v>4</v>
      </c>
      <c r="I145">
        <v>1</v>
      </c>
      <c r="J145">
        <v>0.2</v>
      </c>
      <c r="K145" s="6">
        <v>0.2576</v>
      </c>
      <c r="L145">
        <v>0.4</v>
      </c>
      <c r="M145">
        <v>0</v>
      </c>
      <c r="N145" s="4">
        <v>4</v>
      </c>
      <c r="O145" s="4">
        <v>92</v>
      </c>
      <c r="P145" s="4">
        <v>96</v>
      </c>
      <c r="Q145" s="9" t="str">
        <f>CHOOSE(FinalData[[#This Row],[Season]],"Spring","Summer","Fall","Winter")</f>
        <v>Spring</v>
      </c>
      <c r="R145" s="9" t="str">
        <f>CHOOSE(FinalData[[#This Row],[Weathersituation]],"Clear","Mist","Light Rain","Heavy Rain")</f>
        <v>Clear</v>
      </c>
      <c r="S145" s="9" t="str">
        <f>TEXT(FinalData[[#This Row],[Date]],"mmm")</f>
        <v>Feb</v>
      </c>
    </row>
    <row r="146" spans="1:19" x14ac:dyDescent="0.3">
      <c r="A146">
        <v>755</v>
      </c>
      <c r="B146" s="1">
        <v>40577</v>
      </c>
      <c r="C146">
        <v>1</v>
      </c>
      <c r="D146">
        <v>0</v>
      </c>
      <c r="E146">
        <v>2</v>
      </c>
      <c r="F146">
        <v>20</v>
      </c>
      <c r="G146" t="b">
        <v>0</v>
      </c>
      <c r="H146">
        <v>4</v>
      </c>
      <c r="I146">
        <v>1</v>
      </c>
      <c r="J146">
        <v>0.2</v>
      </c>
      <c r="K146" s="6">
        <v>0.2273</v>
      </c>
      <c r="L146">
        <v>0.47</v>
      </c>
      <c r="M146">
        <v>8.9599999999999999E-2</v>
      </c>
      <c r="N146" s="4">
        <v>1</v>
      </c>
      <c r="O146" s="4">
        <v>108</v>
      </c>
      <c r="P146" s="4">
        <v>109</v>
      </c>
      <c r="Q146" s="9" t="str">
        <f>CHOOSE(FinalData[[#This Row],[Season]],"Spring","Summer","Fall","Winter")</f>
        <v>Spring</v>
      </c>
      <c r="R146" s="9" t="str">
        <f>CHOOSE(FinalData[[#This Row],[Weathersituation]],"Clear","Mist","Light Rain","Heavy Rain")</f>
        <v>Clear</v>
      </c>
      <c r="S146" s="9" t="str">
        <f>TEXT(FinalData[[#This Row],[Date]],"mmm")</f>
        <v>Feb</v>
      </c>
    </row>
    <row r="147" spans="1:19" x14ac:dyDescent="0.3">
      <c r="A147">
        <v>756</v>
      </c>
      <c r="B147" s="1">
        <v>40577</v>
      </c>
      <c r="C147">
        <v>1</v>
      </c>
      <c r="D147">
        <v>0</v>
      </c>
      <c r="E147">
        <v>2</v>
      </c>
      <c r="F147">
        <v>21</v>
      </c>
      <c r="G147" t="b">
        <v>0</v>
      </c>
      <c r="H147">
        <v>4</v>
      </c>
      <c r="I147">
        <v>1</v>
      </c>
      <c r="J147">
        <v>0.18</v>
      </c>
      <c r="K147" s="6">
        <v>0.21210000000000001</v>
      </c>
      <c r="L147">
        <v>0.55000000000000004</v>
      </c>
      <c r="M147">
        <v>0.1045</v>
      </c>
      <c r="N147" s="4">
        <v>1</v>
      </c>
      <c r="O147" s="4">
        <v>53</v>
      </c>
      <c r="P147" s="4">
        <v>54</v>
      </c>
      <c r="Q147" s="9" t="str">
        <f>CHOOSE(FinalData[[#This Row],[Season]],"Spring","Summer","Fall","Winter")</f>
        <v>Spring</v>
      </c>
      <c r="R147" s="9" t="str">
        <f>CHOOSE(FinalData[[#This Row],[Weathersituation]],"Clear","Mist","Light Rain","Heavy Rain")</f>
        <v>Clear</v>
      </c>
      <c r="S147" s="9" t="str">
        <f>TEXT(FinalData[[#This Row],[Date]],"mmm")</f>
        <v>Feb</v>
      </c>
    </row>
    <row r="148" spans="1:19" x14ac:dyDescent="0.3">
      <c r="A148">
        <v>757</v>
      </c>
      <c r="B148" s="1">
        <v>40577</v>
      </c>
      <c r="C148">
        <v>1</v>
      </c>
      <c r="D148">
        <v>0</v>
      </c>
      <c r="E148">
        <v>2</v>
      </c>
      <c r="F148">
        <v>22</v>
      </c>
      <c r="G148" t="b">
        <v>0</v>
      </c>
      <c r="H148">
        <v>4</v>
      </c>
      <c r="I148">
        <v>1</v>
      </c>
      <c r="J148">
        <v>0.18</v>
      </c>
      <c r="K148" s="6">
        <v>0.21210000000000001</v>
      </c>
      <c r="L148">
        <v>0.51</v>
      </c>
      <c r="M148">
        <v>8.9599999999999999E-2</v>
      </c>
      <c r="N148" s="4">
        <v>2</v>
      </c>
      <c r="O148" s="4">
        <v>39</v>
      </c>
      <c r="P148" s="4">
        <v>41</v>
      </c>
      <c r="Q148" s="9" t="str">
        <f>CHOOSE(FinalData[[#This Row],[Season]],"Spring","Summer","Fall","Winter")</f>
        <v>Spring</v>
      </c>
      <c r="R148" s="9" t="str">
        <f>CHOOSE(FinalData[[#This Row],[Weathersituation]],"Clear","Mist","Light Rain","Heavy Rain")</f>
        <v>Clear</v>
      </c>
      <c r="S148" s="9" t="str">
        <f>TEXT(FinalData[[#This Row],[Date]],"mmm")</f>
        <v>Feb</v>
      </c>
    </row>
    <row r="149" spans="1:19" x14ac:dyDescent="0.3">
      <c r="A149">
        <v>758</v>
      </c>
      <c r="B149" s="1">
        <v>40577</v>
      </c>
      <c r="C149">
        <v>1</v>
      </c>
      <c r="D149">
        <v>0</v>
      </c>
      <c r="E149">
        <v>2</v>
      </c>
      <c r="F149">
        <v>23</v>
      </c>
      <c r="G149" t="b">
        <v>0</v>
      </c>
      <c r="H149">
        <v>4</v>
      </c>
      <c r="I149">
        <v>1</v>
      </c>
      <c r="J149">
        <v>0.2</v>
      </c>
      <c r="K149" s="6">
        <v>0.2273</v>
      </c>
      <c r="L149">
        <v>0.47</v>
      </c>
      <c r="M149">
        <v>0.1045</v>
      </c>
      <c r="N149" s="4">
        <v>4</v>
      </c>
      <c r="O149" s="4">
        <v>34</v>
      </c>
      <c r="P149" s="4">
        <v>38</v>
      </c>
      <c r="Q149" s="9" t="str">
        <f>CHOOSE(FinalData[[#This Row],[Season]],"Spring","Summer","Fall","Winter")</f>
        <v>Spring</v>
      </c>
      <c r="R149" s="9" t="str">
        <f>CHOOSE(FinalData[[#This Row],[Weathersituation]],"Clear","Mist","Light Rain","Heavy Rain")</f>
        <v>Clear</v>
      </c>
      <c r="S149" s="9" t="str">
        <f>TEXT(FinalData[[#This Row],[Date]],"mmm")</f>
        <v>Feb</v>
      </c>
    </row>
    <row r="150" spans="1:19" x14ac:dyDescent="0.3">
      <c r="A150">
        <v>759</v>
      </c>
      <c r="B150" s="1">
        <v>40578</v>
      </c>
      <c r="C150">
        <v>1</v>
      </c>
      <c r="D150">
        <v>0</v>
      </c>
      <c r="E150">
        <v>2</v>
      </c>
      <c r="F150">
        <v>0</v>
      </c>
      <c r="G150" t="b">
        <v>0</v>
      </c>
      <c r="H150">
        <v>5</v>
      </c>
      <c r="I150">
        <v>2</v>
      </c>
      <c r="J150">
        <v>0.2</v>
      </c>
      <c r="K150" s="6">
        <v>0.2576</v>
      </c>
      <c r="L150">
        <v>0.44</v>
      </c>
      <c r="M150">
        <v>0</v>
      </c>
      <c r="N150" s="4">
        <v>3</v>
      </c>
      <c r="O150" s="4">
        <v>10</v>
      </c>
      <c r="P150" s="4">
        <v>13</v>
      </c>
      <c r="Q150" s="9" t="str">
        <f>CHOOSE(FinalData[[#This Row],[Season]],"Spring","Summer","Fall","Winter")</f>
        <v>Spring</v>
      </c>
      <c r="R150" s="9" t="str">
        <f>CHOOSE(FinalData[[#This Row],[Weathersituation]],"Clear","Mist","Light Rain","Heavy Rain")</f>
        <v>Mist</v>
      </c>
      <c r="S150" s="9" t="str">
        <f>TEXT(FinalData[[#This Row],[Date]],"mmm")</f>
        <v>Feb</v>
      </c>
    </row>
    <row r="151" spans="1:19" x14ac:dyDescent="0.3">
      <c r="A151">
        <v>760</v>
      </c>
      <c r="B151" s="1">
        <v>40578</v>
      </c>
      <c r="C151">
        <v>1</v>
      </c>
      <c r="D151">
        <v>0</v>
      </c>
      <c r="E151">
        <v>2</v>
      </c>
      <c r="F151">
        <v>1</v>
      </c>
      <c r="G151" t="b">
        <v>0</v>
      </c>
      <c r="H151">
        <v>5</v>
      </c>
      <c r="I151">
        <v>2</v>
      </c>
      <c r="J151">
        <v>0.16</v>
      </c>
      <c r="K151" s="6">
        <v>0.2273</v>
      </c>
      <c r="L151">
        <v>0.59</v>
      </c>
      <c r="M151">
        <v>0</v>
      </c>
      <c r="N151" s="4">
        <v>0</v>
      </c>
      <c r="O151" s="4">
        <v>7</v>
      </c>
      <c r="P151" s="4">
        <v>7</v>
      </c>
      <c r="Q151" s="9" t="str">
        <f>CHOOSE(FinalData[[#This Row],[Season]],"Spring","Summer","Fall","Winter")</f>
        <v>Spring</v>
      </c>
      <c r="R151" s="9" t="str">
        <f>CHOOSE(FinalData[[#This Row],[Weathersituation]],"Clear","Mist","Light Rain","Heavy Rain")</f>
        <v>Mist</v>
      </c>
      <c r="S151" s="9" t="str">
        <f>TEXT(FinalData[[#This Row],[Date]],"mmm")</f>
        <v>Feb</v>
      </c>
    </row>
    <row r="152" spans="1:19" x14ac:dyDescent="0.3">
      <c r="A152">
        <v>761</v>
      </c>
      <c r="B152" s="1">
        <v>40578</v>
      </c>
      <c r="C152">
        <v>1</v>
      </c>
      <c r="D152">
        <v>0</v>
      </c>
      <c r="E152">
        <v>2</v>
      </c>
      <c r="F152">
        <v>2</v>
      </c>
      <c r="G152" t="b">
        <v>0</v>
      </c>
      <c r="H152">
        <v>5</v>
      </c>
      <c r="I152">
        <v>2</v>
      </c>
      <c r="J152">
        <v>0.14000000000000001</v>
      </c>
      <c r="K152" s="6">
        <v>0.16669999999999999</v>
      </c>
      <c r="L152">
        <v>0.63</v>
      </c>
      <c r="M152">
        <v>0.1045</v>
      </c>
      <c r="N152" s="4">
        <v>0</v>
      </c>
      <c r="O152" s="4">
        <v>1</v>
      </c>
      <c r="P152" s="4">
        <v>1</v>
      </c>
      <c r="Q152" s="9" t="str">
        <f>CHOOSE(FinalData[[#This Row],[Season]],"Spring","Summer","Fall","Winter")</f>
        <v>Spring</v>
      </c>
      <c r="R152" s="9" t="str">
        <f>CHOOSE(FinalData[[#This Row],[Weathersituation]],"Clear","Mist","Light Rain","Heavy Rain")</f>
        <v>Mist</v>
      </c>
      <c r="S152" s="9" t="str">
        <f>TEXT(FinalData[[#This Row],[Date]],"mmm")</f>
        <v>Feb</v>
      </c>
    </row>
    <row r="153" spans="1:19" x14ac:dyDescent="0.3">
      <c r="A153">
        <v>762</v>
      </c>
      <c r="B153" s="1">
        <v>40578</v>
      </c>
      <c r="C153">
        <v>1</v>
      </c>
      <c r="D153">
        <v>0</v>
      </c>
      <c r="E153">
        <v>2</v>
      </c>
      <c r="F153">
        <v>3</v>
      </c>
      <c r="G153" t="b">
        <v>0</v>
      </c>
      <c r="H153">
        <v>5</v>
      </c>
      <c r="I153">
        <v>2</v>
      </c>
      <c r="J153">
        <v>0.14000000000000001</v>
      </c>
      <c r="K153" s="6">
        <v>0.16669999999999999</v>
      </c>
      <c r="L153">
        <v>0.63</v>
      </c>
      <c r="M153">
        <v>0.1045</v>
      </c>
      <c r="N153" s="4">
        <v>0</v>
      </c>
      <c r="O153" s="4">
        <v>1</v>
      </c>
      <c r="P153" s="4">
        <v>1</v>
      </c>
      <c r="Q153" s="9" t="str">
        <f>CHOOSE(FinalData[[#This Row],[Season]],"Spring","Summer","Fall","Winter")</f>
        <v>Spring</v>
      </c>
      <c r="R153" s="9" t="str">
        <f>CHOOSE(FinalData[[#This Row],[Weathersituation]],"Clear","Mist","Light Rain","Heavy Rain")</f>
        <v>Mist</v>
      </c>
      <c r="S153" s="9" t="str">
        <f>TEXT(FinalData[[#This Row],[Date]],"mmm")</f>
        <v>Feb</v>
      </c>
    </row>
    <row r="154" spans="1:19" x14ac:dyDescent="0.3">
      <c r="A154">
        <v>763</v>
      </c>
      <c r="B154" s="1">
        <v>40578</v>
      </c>
      <c r="C154">
        <v>1</v>
      </c>
      <c r="D154">
        <v>0</v>
      </c>
      <c r="E154">
        <v>2</v>
      </c>
      <c r="F154">
        <v>5</v>
      </c>
      <c r="G154" t="b">
        <v>0</v>
      </c>
      <c r="H154">
        <v>5</v>
      </c>
      <c r="I154">
        <v>2</v>
      </c>
      <c r="J154">
        <v>0.14000000000000001</v>
      </c>
      <c r="K154" s="6">
        <v>0.1515</v>
      </c>
      <c r="L154">
        <v>0.63</v>
      </c>
      <c r="M154">
        <v>0.1343</v>
      </c>
      <c r="N154" s="4">
        <v>0</v>
      </c>
      <c r="O154" s="4">
        <v>7</v>
      </c>
      <c r="P154" s="4">
        <v>7</v>
      </c>
      <c r="Q154" s="9" t="str">
        <f>CHOOSE(FinalData[[#This Row],[Season]],"Spring","Summer","Fall","Winter")</f>
        <v>Spring</v>
      </c>
      <c r="R154" s="9" t="str">
        <f>CHOOSE(FinalData[[#This Row],[Weathersituation]],"Clear","Mist","Light Rain","Heavy Rain")</f>
        <v>Mist</v>
      </c>
      <c r="S154" s="9" t="str">
        <f>TEXT(FinalData[[#This Row],[Date]],"mmm")</f>
        <v>Feb</v>
      </c>
    </row>
    <row r="155" spans="1:19" x14ac:dyDescent="0.3">
      <c r="A155">
        <v>764</v>
      </c>
      <c r="B155" s="1">
        <v>40578</v>
      </c>
      <c r="C155">
        <v>1</v>
      </c>
      <c r="D155">
        <v>0</v>
      </c>
      <c r="E155">
        <v>2</v>
      </c>
      <c r="F155">
        <v>6</v>
      </c>
      <c r="G155" t="b">
        <v>0</v>
      </c>
      <c r="H155">
        <v>5</v>
      </c>
      <c r="I155">
        <v>2</v>
      </c>
      <c r="J155">
        <v>0.16</v>
      </c>
      <c r="K155" s="6">
        <v>0.2273</v>
      </c>
      <c r="L155">
        <v>0.55000000000000004</v>
      </c>
      <c r="M155">
        <v>0</v>
      </c>
      <c r="N155" s="4">
        <v>2</v>
      </c>
      <c r="O155" s="4">
        <v>26</v>
      </c>
      <c r="P155" s="4">
        <v>28</v>
      </c>
      <c r="Q155" s="9" t="str">
        <f>CHOOSE(FinalData[[#This Row],[Season]],"Spring","Summer","Fall","Winter")</f>
        <v>Spring</v>
      </c>
      <c r="R155" s="9" t="str">
        <f>CHOOSE(FinalData[[#This Row],[Weathersituation]],"Clear","Mist","Light Rain","Heavy Rain")</f>
        <v>Mist</v>
      </c>
      <c r="S155" s="9" t="str">
        <f>TEXT(FinalData[[#This Row],[Date]],"mmm")</f>
        <v>Feb</v>
      </c>
    </row>
    <row r="156" spans="1:19" x14ac:dyDescent="0.3">
      <c r="A156">
        <v>765</v>
      </c>
      <c r="B156" s="1">
        <v>40578</v>
      </c>
      <c r="C156">
        <v>1</v>
      </c>
      <c r="D156">
        <v>0</v>
      </c>
      <c r="E156">
        <v>2</v>
      </c>
      <c r="F156">
        <v>7</v>
      </c>
      <c r="G156" t="b">
        <v>0</v>
      </c>
      <c r="H156">
        <v>5</v>
      </c>
      <c r="I156">
        <v>1</v>
      </c>
      <c r="J156">
        <v>0.14000000000000001</v>
      </c>
      <c r="K156" s="6">
        <v>0.21210000000000001</v>
      </c>
      <c r="L156">
        <v>0.59</v>
      </c>
      <c r="M156">
        <v>0</v>
      </c>
      <c r="N156" s="4">
        <v>0</v>
      </c>
      <c r="O156" s="4">
        <v>87</v>
      </c>
      <c r="P156" s="4">
        <v>87</v>
      </c>
      <c r="Q156" s="9" t="str">
        <f>CHOOSE(FinalData[[#This Row],[Season]],"Spring","Summer","Fall","Winter")</f>
        <v>Spring</v>
      </c>
      <c r="R156" s="9" t="str">
        <f>CHOOSE(FinalData[[#This Row],[Weathersituation]],"Clear","Mist","Light Rain","Heavy Rain")</f>
        <v>Clear</v>
      </c>
      <c r="S156" s="9" t="str">
        <f>TEXT(FinalData[[#This Row],[Date]],"mmm")</f>
        <v>Feb</v>
      </c>
    </row>
    <row r="157" spans="1:19" x14ac:dyDescent="0.3">
      <c r="A157">
        <v>766</v>
      </c>
      <c r="B157" s="1">
        <v>40578</v>
      </c>
      <c r="C157">
        <v>1</v>
      </c>
      <c r="D157">
        <v>0</v>
      </c>
      <c r="E157">
        <v>2</v>
      </c>
      <c r="F157">
        <v>8</v>
      </c>
      <c r="G157" t="b">
        <v>0</v>
      </c>
      <c r="H157">
        <v>5</v>
      </c>
      <c r="I157">
        <v>1</v>
      </c>
      <c r="J157">
        <v>0.14000000000000001</v>
      </c>
      <c r="K157" s="6">
        <v>0.1515</v>
      </c>
      <c r="L157">
        <v>0.74</v>
      </c>
      <c r="M157">
        <v>0.1343</v>
      </c>
      <c r="N157" s="4">
        <v>3</v>
      </c>
      <c r="O157" s="4">
        <v>217</v>
      </c>
      <c r="P157" s="4">
        <v>220</v>
      </c>
      <c r="Q157" s="9" t="str">
        <f>CHOOSE(FinalData[[#This Row],[Season]],"Spring","Summer","Fall","Winter")</f>
        <v>Spring</v>
      </c>
      <c r="R157" s="9" t="str">
        <f>CHOOSE(FinalData[[#This Row],[Weathersituation]],"Clear","Mist","Light Rain","Heavy Rain")</f>
        <v>Clear</v>
      </c>
      <c r="S157" s="9" t="str">
        <f>TEXT(FinalData[[#This Row],[Date]],"mmm")</f>
        <v>Feb</v>
      </c>
    </row>
    <row r="158" spans="1:19" x14ac:dyDescent="0.3">
      <c r="A158">
        <v>767</v>
      </c>
      <c r="B158" s="1">
        <v>40578</v>
      </c>
      <c r="C158">
        <v>1</v>
      </c>
      <c r="D158">
        <v>0</v>
      </c>
      <c r="E158">
        <v>2</v>
      </c>
      <c r="F158">
        <v>9</v>
      </c>
      <c r="G158" t="b">
        <v>0</v>
      </c>
      <c r="H158">
        <v>5</v>
      </c>
      <c r="I158">
        <v>2</v>
      </c>
      <c r="J158">
        <v>0.16</v>
      </c>
      <c r="K158" s="6">
        <v>0.18179999999999999</v>
      </c>
      <c r="L158">
        <v>0.8</v>
      </c>
      <c r="M158">
        <v>0.1343</v>
      </c>
      <c r="N158" s="4">
        <v>3</v>
      </c>
      <c r="O158" s="4">
        <v>124</v>
      </c>
      <c r="P158" s="4">
        <v>127</v>
      </c>
      <c r="Q158" s="9" t="str">
        <f>CHOOSE(FinalData[[#This Row],[Season]],"Spring","Summer","Fall","Winter")</f>
        <v>Spring</v>
      </c>
      <c r="R158" s="9" t="str">
        <f>CHOOSE(FinalData[[#This Row],[Weathersituation]],"Clear","Mist","Light Rain","Heavy Rain")</f>
        <v>Mist</v>
      </c>
      <c r="S158" s="9" t="str">
        <f>TEXT(FinalData[[#This Row],[Date]],"mmm")</f>
        <v>Feb</v>
      </c>
    </row>
    <row r="159" spans="1:19" x14ac:dyDescent="0.3">
      <c r="A159">
        <v>768</v>
      </c>
      <c r="B159" s="1">
        <v>40578</v>
      </c>
      <c r="C159">
        <v>1</v>
      </c>
      <c r="D159">
        <v>0</v>
      </c>
      <c r="E159">
        <v>2</v>
      </c>
      <c r="F159">
        <v>10</v>
      </c>
      <c r="G159" t="b">
        <v>0</v>
      </c>
      <c r="H159">
        <v>5</v>
      </c>
      <c r="I159">
        <v>2</v>
      </c>
      <c r="J159">
        <v>0.2</v>
      </c>
      <c r="K159" s="6">
        <v>0.21210000000000001</v>
      </c>
      <c r="L159">
        <v>0.51</v>
      </c>
      <c r="M159">
        <v>0.1343</v>
      </c>
      <c r="N159" s="4">
        <v>5</v>
      </c>
      <c r="O159" s="4">
        <v>46</v>
      </c>
      <c r="P159" s="4">
        <v>51</v>
      </c>
      <c r="Q159" s="9" t="str">
        <f>CHOOSE(FinalData[[#This Row],[Season]],"Spring","Summer","Fall","Winter")</f>
        <v>Spring</v>
      </c>
      <c r="R159" s="9" t="str">
        <f>CHOOSE(FinalData[[#This Row],[Weathersituation]],"Clear","Mist","Light Rain","Heavy Rain")</f>
        <v>Mist</v>
      </c>
      <c r="S159" s="9" t="str">
        <f>TEXT(FinalData[[#This Row],[Date]],"mmm")</f>
        <v>Feb</v>
      </c>
    </row>
    <row r="160" spans="1:19" x14ac:dyDescent="0.3">
      <c r="A160">
        <v>769</v>
      </c>
      <c r="B160" s="1">
        <v>40578</v>
      </c>
      <c r="C160">
        <v>1</v>
      </c>
      <c r="D160">
        <v>0</v>
      </c>
      <c r="E160">
        <v>2</v>
      </c>
      <c r="F160">
        <v>11</v>
      </c>
      <c r="G160" t="b">
        <v>0</v>
      </c>
      <c r="H160">
        <v>5</v>
      </c>
      <c r="I160">
        <v>1</v>
      </c>
      <c r="J160">
        <v>0.22</v>
      </c>
      <c r="K160" s="6">
        <v>0.2273</v>
      </c>
      <c r="L160">
        <v>0.51</v>
      </c>
      <c r="M160">
        <v>0.16420000000000001</v>
      </c>
      <c r="N160" s="4">
        <v>3</v>
      </c>
      <c r="O160" s="4">
        <v>61</v>
      </c>
      <c r="P160" s="4">
        <v>64</v>
      </c>
      <c r="Q160" s="9" t="str">
        <f>CHOOSE(FinalData[[#This Row],[Season]],"Spring","Summer","Fall","Winter")</f>
        <v>Spring</v>
      </c>
      <c r="R160" s="9" t="str">
        <f>CHOOSE(FinalData[[#This Row],[Weathersituation]],"Clear","Mist","Light Rain","Heavy Rain")</f>
        <v>Clear</v>
      </c>
      <c r="S160" s="9" t="str">
        <f>TEXT(FinalData[[#This Row],[Date]],"mmm")</f>
        <v>Feb</v>
      </c>
    </row>
    <row r="161" spans="1:19" x14ac:dyDescent="0.3">
      <c r="A161">
        <v>770</v>
      </c>
      <c r="B161" s="1">
        <v>40578</v>
      </c>
      <c r="C161">
        <v>1</v>
      </c>
      <c r="D161">
        <v>0</v>
      </c>
      <c r="E161">
        <v>2</v>
      </c>
      <c r="F161">
        <v>12</v>
      </c>
      <c r="G161" t="b">
        <v>0</v>
      </c>
      <c r="H161">
        <v>5</v>
      </c>
      <c r="I161">
        <v>2</v>
      </c>
      <c r="J161">
        <v>0.24</v>
      </c>
      <c r="K161" s="6">
        <v>0.2424</v>
      </c>
      <c r="L161">
        <v>0.48</v>
      </c>
      <c r="M161">
        <v>0.16420000000000001</v>
      </c>
      <c r="N161" s="4">
        <v>8</v>
      </c>
      <c r="O161" s="4">
        <v>78</v>
      </c>
      <c r="P161" s="4">
        <v>86</v>
      </c>
      <c r="Q161" s="9" t="str">
        <f>CHOOSE(FinalData[[#This Row],[Season]],"Spring","Summer","Fall","Winter")</f>
        <v>Spring</v>
      </c>
      <c r="R161" s="9" t="str">
        <f>CHOOSE(FinalData[[#This Row],[Weathersituation]],"Clear","Mist","Light Rain","Heavy Rain")</f>
        <v>Mist</v>
      </c>
      <c r="S161" s="9" t="str">
        <f>TEXT(FinalData[[#This Row],[Date]],"mmm")</f>
        <v>Feb</v>
      </c>
    </row>
    <row r="162" spans="1:19" x14ac:dyDescent="0.3">
      <c r="A162">
        <v>771</v>
      </c>
      <c r="B162" s="1">
        <v>40578</v>
      </c>
      <c r="C162">
        <v>1</v>
      </c>
      <c r="D162">
        <v>0</v>
      </c>
      <c r="E162">
        <v>2</v>
      </c>
      <c r="F162">
        <v>13</v>
      </c>
      <c r="G162" t="b">
        <v>0</v>
      </c>
      <c r="H162">
        <v>5</v>
      </c>
      <c r="I162">
        <v>2</v>
      </c>
      <c r="J162">
        <v>0.26</v>
      </c>
      <c r="K162" s="6">
        <v>0.2576</v>
      </c>
      <c r="L162">
        <v>0.5</v>
      </c>
      <c r="M162">
        <v>0.22389999999999999</v>
      </c>
      <c r="N162" s="4">
        <v>9</v>
      </c>
      <c r="O162" s="4">
        <v>73</v>
      </c>
      <c r="P162" s="4">
        <v>82</v>
      </c>
      <c r="Q162" s="9" t="str">
        <f>CHOOSE(FinalData[[#This Row],[Season]],"Spring","Summer","Fall","Winter")</f>
        <v>Spring</v>
      </c>
      <c r="R162" s="9" t="str">
        <f>CHOOSE(FinalData[[#This Row],[Weathersituation]],"Clear","Mist","Light Rain","Heavy Rain")</f>
        <v>Mist</v>
      </c>
      <c r="S162" s="9" t="str">
        <f>TEXT(FinalData[[#This Row],[Date]],"mmm")</f>
        <v>Feb</v>
      </c>
    </row>
    <row r="163" spans="1:19" x14ac:dyDescent="0.3">
      <c r="A163">
        <v>772</v>
      </c>
      <c r="B163" s="1">
        <v>40578</v>
      </c>
      <c r="C163">
        <v>1</v>
      </c>
      <c r="D163">
        <v>0</v>
      </c>
      <c r="E163">
        <v>2</v>
      </c>
      <c r="F163">
        <v>14</v>
      </c>
      <c r="G163" t="b">
        <v>0</v>
      </c>
      <c r="H163">
        <v>5</v>
      </c>
      <c r="I163">
        <v>2</v>
      </c>
      <c r="J163">
        <v>0.28000000000000003</v>
      </c>
      <c r="K163" s="6">
        <v>0.2727</v>
      </c>
      <c r="L163">
        <v>0.45</v>
      </c>
      <c r="M163">
        <v>0.16420000000000001</v>
      </c>
      <c r="N163" s="4">
        <v>15</v>
      </c>
      <c r="O163" s="4">
        <v>76</v>
      </c>
      <c r="P163" s="4">
        <v>91</v>
      </c>
      <c r="Q163" s="9" t="str">
        <f>CHOOSE(FinalData[[#This Row],[Season]],"Spring","Summer","Fall","Winter")</f>
        <v>Spring</v>
      </c>
      <c r="R163" s="9" t="str">
        <f>CHOOSE(FinalData[[#This Row],[Weathersituation]],"Clear","Mist","Light Rain","Heavy Rain")</f>
        <v>Mist</v>
      </c>
      <c r="S163" s="9" t="str">
        <f>TEXT(FinalData[[#This Row],[Date]],"mmm")</f>
        <v>Feb</v>
      </c>
    </row>
    <row r="164" spans="1:19" x14ac:dyDescent="0.3">
      <c r="A164">
        <v>773</v>
      </c>
      <c r="B164" s="1">
        <v>40578</v>
      </c>
      <c r="C164">
        <v>1</v>
      </c>
      <c r="D164">
        <v>0</v>
      </c>
      <c r="E164">
        <v>2</v>
      </c>
      <c r="F164">
        <v>15</v>
      </c>
      <c r="G164" t="b">
        <v>0</v>
      </c>
      <c r="H164">
        <v>5</v>
      </c>
      <c r="I164">
        <v>2</v>
      </c>
      <c r="J164">
        <v>0.28000000000000003</v>
      </c>
      <c r="K164" s="6">
        <v>0.2727</v>
      </c>
      <c r="L164">
        <v>0.48</v>
      </c>
      <c r="M164">
        <v>0.25369999999999998</v>
      </c>
      <c r="N164" s="4">
        <v>9</v>
      </c>
      <c r="O164" s="4">
        <v>81</v>
      </c>
      <c r="P164" s="4">
        <v>90</v>
      </c>
      <c r="Q164" s="9" t="str">
        <f>CHOOSE(FinalData[[#This Row],[Season]],"Spring","Summer","Fall","Winter")</f>
        <v>Spring</v>
      </c>
      <c r="R164" s="9" t="str">
        <f>CHOOSE(FinalData[[#This Row],[Weathersituation]],"Clear","Mist","Light Rain","Heavy Rain")</f>
        <v>Mist</v>
      </c>
      <c r="S164" s="9" t="str">
        <f>TEXT(FinalData[[#This Row],[Date]],"mmm")</f>
        <v>Feb</v>
      </c>
    </row>
    <row r="165" spans="1:19" x14ac:dyDescent="0.3">
      <c r="A165">
        <v>774</v>
      </c>
      <c r="B165" s="1">
        <v>40578</v>
      </c>
      <c r="C165">
        <v>1</v>
      </c>
      <c r="D165">
        <v>0</v>
      </c>
      <c r="E165">
        <v>2</v>
      </c>
      <c r="F165">
        <v>16</v>
      </c>
      <c r="G165" t="b">
        <v>0</v>
      </c>
      <c r="H165">
        <v>5</v>
      </c>
      <c r="I165">
        <v>2</v>
      </c>
      <c r="J165">
        <v>0.3</v>
      </c>
      <c r="K165" s="6">
        <v>0.28789999999999999</v>
      </c>
      <c r="L165">
        <v>0.42</v>
      </c>
      <c r="M165">
        <v>0.22389999999999999</v>
      </c>
      <c r="N165" s="4">
        <v>8</v>
      </c>
      <c r="O165" s="4">
        <v>91</v>
      </c>
      <c r="P165" s="4">
        <v>99</v>
      </c>
      <c r="Q165" s="9" t="str">
        <f>CHOOSE(FinalData[[#This Row],[Season]],"Spring","Summer","Fall","Winter")</f>
        <v>Spring</v>
      </c>
      <c r="R165" s="9" t="str">
        <f>CHOOSE(FinalData[[#This Row],[Weathersituation]],"Clear","Mist","Light Rain","Heavy Rain")</f>
        <v>Mist</v>
      </c>
      <c r="S165" s="9" t="str">
        <f>TEXT(FinalData[[#This Row],[Date]],"mmm")</f>
        <v>Feb</v>
      </c>
    </row>
    <row r="166" spans="1:19" x14ac:dyDescent="0.3">
      <c r="A166">
        <v>775</v>
      </c>
      <c r="B166" s="1">
        <v>40578</v>
      </c>
      <c r="C166">
        <v>1</v>
      </c>
      <c r="D166">
        <v>0</v>
      </c>
      <c r="E166">
        <v>2</v>
      </c>
      <c r="F166">
        <v>17</v>
      </c>
      <c r="G166" t="b">
        <v>0</v>
      </c>
      <c r="H166">
        <v>5</v>
      </c>
      <c r="I166">
        <v>2</v>
      </c>
      <c r="J166">
        <v>0.26</v>
      </c>
      <c r="K166" s="6">
        <v>0.2727</v>
      </c>
      <c r="L166">
        <v>0.56000000000000005</v>
      </c>
      <c r="M166">
        <v>0.1343</v>
      </c>
      <c r="N166" s="4">
        <v>10</v>
      </c>
      <c r="O166" s="4">
        <v>195</v>
      </c>
      <c r="P166" s="4">
        <v>205</v>
      </c>
      <c r="Q166" s="9" t="str">
        <f>CHOOSE(FinalData[[#This Row],[Season]],"Spring","Summer","Fall","Winter")</f>
        <v>Spring</v>
      </c>
      <c r="R166" s="9" t="str">
        <f>CHOOSE(FinalData[[#This Row],[Weathersituation]],"Clear","Mist","Light Rain","Heavy Rain")</f>
        <v>Mist</v>
      </c>
      <c r="S166" s="9" t="str">
        <f>TEXT(FinalData[[#This Row],[Date]],"mmm")</f>
        <v>Feb</v>
      </c>
    </row>
    <row r="167" spans="1:19" x14ac:dyDescent="0.3">
      <c r="A167">
        <v>776</v>
      </c>
      <c r="B167" s="1">
        <v>40578</v>
      </c>
      <c r="C167">
        <v>1</v>
      </c>
      <c r="D167">
        <v>0</v>
      </c>
      <c r="E167">
        <v>2</v>
      </c>
      <c r="F167">
        <v>18</v>
      </c>
      <c r="G167" t="b">
        <v>0</v>
      </c>
      <c r="H167">
        <v>5</v>
      </c>
      <c r="I167">
        <v>2</v>
      </c>
      <c r="J167">
        <v>0.24</v>
      </c>
      <c r="K167" s="6">
        <v>0.2576</v>
      </c>
      <c r="L167">
        <v>0.6</v>
      </c>
      <c r="M167">
        <v>0.1045</v>
      </c>
      <c r="N167" s="4">
        <v>3</v>
      </c>
      <c r="O167" s="4">
        <v>152</v>
      </c>
      <c r="P167" s="4">
        <v>155</v>
      </c>
      <c r="Q167" s="9" t="str">
        <f>CHOOSE(FinalData[[#This Row],[Season]],"Spring","Summer","Fall","Winter")</f>
        <v>Spring</v>
      </c>
      <c r="R167" s="9" t="str">
        <f>CHOOSE(FinalData[[#This Row],[Weathersituation]],"Clear","Mist","Light Rain","Heavy Rain")</f>
        <v>Mist</v>
      </c>
      <c r="S167" s="9" t="str">
        <f>TEXT(FinalData[[#This Row],[Date]],"mmm")</f>
        <v>Feb</v>
      </c>
    </row>
    <row r="168" spans="1:19" x14ac:dyDescent="0.3">
      <c r="A168">
        <v>777</v>
      </c>
      <c r="B168" s="1">
        <v>40578</v>
      </c>
      <c r="C168">
        <v>1</v>
      </c>
      <c r="D168">
        <v>0</v>
      </c>
      <c r="E168">
        <v>2</v>
      </c>
      <c r="F168">
        <v>19</v>
      </c>
      <c r="G168" t="b">
        <v>0</v>
      </c>
      <c r="H168">
        <v>5</v>
      </c>
      <c r="I168">
        <v>2</v>
      </c>
      <c r="J168">
        <v>0.24</v>
      </c>
      <c r="K168" s="6">
        <v>0.2424</v>
      </c>
      <c r="L168">
        <v>0.65</v>
      </c>
      <c r="M168">
        <v>0.1343</v>
      </c>
      <c r="N168" s="4">
        <v>1</v>
      </c>
      <c r="O168" s="4">
        <v>102</v>
      </c>
      <c r="P168" s="4">
        <v>103</v>
      </c>
      <c r="Q168" s="9" t="str">
        <f>CHOOSE(FinalData[[#This Row],[Season]],"Spring","Summer","Fall","Winter")</f>
        <v>Spring</v>
      </c>
      <c r="R168" s="9" t="str">
        <f>CHOOSE(FinalData[[#This Row],[Weathersituation]],"Clear","Mist","Light Rain","Heavy Rain")</f>
        <v>Mist</v>
      </c>
      <c r="S168" s="9" t="str">
        <f>TEXT(FinalData[[#This Row],[Date]],"mmm")</f>
        <v>Feb</v>
      </c>
    </row>
    <row r="169" spans="1:19" x14ac:dyDescent="0.3">
      <c r="A169">
        <v>778</v>
      </c>
      <c r="B169" s="1">
        <v>40578</v>
      </c>
      <c r="C169">
        <v>1</v>
      </c>
      <c r="D169">
        <v>0</v>
      </c>
      <c r="E169">
        <v>2</v>
      </c>
      <c r="F169">
        <v>20</v>
      </c>
      <c r="G169" t="b">
        <v>0</v>
      </c>
      <c r="H169">
        <v>5</v>
      </c>
      <c r="I169">
        <v>2</v>
      </c>
      <c r="J169">
        <v>0.24</v>
      </c>
      <c r="K169" s="6">
        <v>0.2424</v>
      </c>
      <c r="L169">
        <v>0.65</v>
      </c>
      <c r="M169">
        <v>0.16420000000000001</v>
      </c>
      <c r="N169" s="4">
        <v>2</v>
      </c>
      <c r="O169" s="4">
        <v>69</v>
      </c>
      <c r="P169" s="4">
        <v>71</v>
      </c>
      <c r="Q169" s="9" t="str">
        <f>CHOOSE(FinalData[[#This Row],[Season]],"Spring","Summer","Fall","Winter")</f>
        <v>Spring</v>
      </c>
      <c r="R169" s="9" t="str">
        <f>CHOOSE(FinalData[[#This Row],[Weathersituation]],"Clear","Mist","Light Rain","Heavy Rain")</f>
        <v>Mist</v>
      </c>
      <c r="S169" s="9" t="str">
        <f>TEXT(FinalData[[#This Row],[Date]],"mmm")</f>
        <v>Feb</v>
      </c>
    </row>
    <row r="170" spans="1:19" x14ac:dyDescent="0.3">
      <c r="A170">
        <v>779</v>
      </c>
      <c r="B170" s="1">
        <v>40578</v>
      </c>
      <c r="C170">
        <v>1</v>
      </c>
      <c r="D170">
        <v>0</v>
      </c>
      <c r="E170">
        <v>2</v>
      </c>
      <c r="F170">
        <v>21</v>
      </c>
      <c r="G170" t="b">
        <v>0</v>
      </c>
      <c r="H170">
        <v>5</v>
      </c>
      <c r="I170">
        <v>2</v>
      </c>
      <c r="J170">
        <v>0.24</v>
      </c>
      <c r="K170" s="6">
        <v>0.2424</v>
      </c>
      <c r="L170">
        <v>0.7</v>
      </c>
      <c r="M170">
        <v>0.16420000000000001</v>
      </c>
      <c r="N170" s="4">
        <v>2</v>
      </c>
      <c r="O170" s="4">
        <v>41</v>
      </c>
      <c r="P170" s="4">
        <v>43</v>
      </c>
      <c r="Q170" s="9" t="str">
        <f>CHOOSE(FinalData[[#This Row],[Season]],"Spring","Summer","Fall","Winter")</f>
        <v>Spring</v>
      </c>
      <c r="R170" s="9" t="str">
        <f>CHOOSE(FinalData[[#This Row],[Weathersituation]],"Clear","Mist","Light Rain","Heavy Rain")</f>
        <v>Mist</v>
      </c>
      <c r="S170" s="9" t="str">
        <f>TEXT(FinalData[[#This Row],[Date]],"mmm")</f>
        <v>Feb</v>
      </c>
    </row>
    <row r="171" spans="1:19" x14ac:dyDescent="0.3">
      <c r="A171">
        <v>780</v>
      </c>
      <c r="B171" s="1">
        <v>40578</v>
      </c>
      <c r="C171">
        <v>1</v>
      </c>
      <c r="D171">
        <v>0</v>
      </c>
      <c r="E171">
        <v>2</v>
      </c>
      <c r="F171">
        <v>22</v>
      </c>
      <c r="G171" t="b">
        <v>0</v>
      </c>
      <c r="H171">
        <v>5</v>
      </c>
      <c r="I171">
        <v>2</v>
      </c>
      <c r="J171">
        <v>0.24</v>
      </c>
      <c r="K171" s="6">
        <v>0.2424</v>
      </c>
      <c r="L171">
        <v>0.65</v>
      </c>
      <c r="M171">
        <v>0.16420000000000001</v>
      </c>
      <c r="N171" s="4">
        <v>1</v>
      </c>
      <c r="O171" s="4">
        <v>45</v>
      </c>
      <c r="P171" s="4">
        <v>46</v>
      </c>
      <c r="Q171" s="9" t="str">
        <f>CHOOSE(FinalData[[#This Row],[Season]],"Spring","Summer","Fall","Winter")</f>
        <v>Spring</v>
      </c>
      <c r="R171" s="9" t="str">
        <f>CHOOSE(FinalData[[#This Row],[Weathersituation]],"Clear","Mist","Light Rain","Heavy Rain")</f>
        <v>Mist</v>
      </c>
      <c r="S171" s="9" t="str">
        <f>TEXT(FinalData[[#This Row],[Date]],"mmm")</f>
        <v>Feb</v>
      </c>
    </row>
    <row r="172" spans="1:19" x14ac:dyDescent="0.3">
      <c r="A172">
        <v>781</v>
      </c>
      <c r="B172" s="1">
        <v>40578</v>
      </c>
      <c r="C172">
        <v>1</v>
      </c>
      <c r="D172">
        <v>0</v>
      </c>
      <c r="E172">
        <v>2</v>
      </c>
      <c r="F172">
        <v>23</v>
      </c>
      <c r="G172" t="b">
        <v>0</v>
      </c>
      <c r="H172">
        <v>5</v>
      </c>
      <c r="I172">
        <v>2</v>
      </c>
      <c r="J172">
        <v>0.24</v>
      </c>
      <c r="K172" s="6">
        <v>0.2424</v>
      </c>
      <c r="L172">
        <v>0.7</v>
      </c>
      <c r="M172">
        <v>0.1343</v>
      </c>
      <c r="N172" s="4">
        <v>1</v>
      </c>
      <c r="O172" s="4">
        <v>30</v>
      </c>
      <c r="P172" s="4">
        <v>31</v>
      </c>
      <c r="Q172" s="9" t="str">
        <f>CHOOSE(FinalData[[#This Row],[Season]],"Spring","Summer","Fall","Winter")</f>
        <v>Spring</v>
      </c>
      <c r="R172" s="9" t="str">
        <f>CHOOSE(FinalData[[#This Row],[Weathersituation]],"Clear","Mist","Light Rain","Heavy Rain")</f>
        <v>Mist</v>
      </c>
      <c r="S172" s="9" t="str">
        <f>TEXT(FinalData[[#This Row],[Date]],"mmm")</f>
        <v>Feb</v>
      </c>
    </row>
    <row r="173" spans="1:19" x14ac:dyDescent="0.3">
      <c r="A173">
        <v>782</v>
      </c>
      <c r="B173" s="1">
        <v>40579</v>
      </c>
      <c r="C173">
        <v>1</v>
      </c>
      <c r="D173">
        <v>0</v>
      </c>
      <c r="E173">
        <v>2</v>
      </c>
      <c r="F173">
        <v>0</v>
      </c>
      <c r="G173" t="b">
        <v>0</v>
      </c>
      <c r="H173">
        <v>6</v>
      </c>
      <c r="I173">
        <v>2</v>
      </c>
      <c r="J173">
        <v>0.24</v>
      </c>
      <c r="K173" s="6">
        <v>0.2424</v>
      </c>
      <c r="L173">
        <v>0.7</v>
      </c>
      <c r="M173">
        <v>0.16420000000000001</v>
      </c>
      <c r="N173" s="4">
        <v>3</v>
      </c>
      <c r="O173" s="4">
        <v>36</v>
      </c>
      <c r="P173" s="4">
        <v>39</v>
      </c>
      <c r="Q173" s="9" t="str">
        <f>CHOOSE(FinalData[[#This Row],[Season]],"Spring","Summer","Fall","Winter")</f>
        <v>Spring</v>
      </c>
      <c r="R173" s="9" t="str">
        <f>CHOOSE(FinalData[[#This Row],[Weathersituation]],"Clear","Mist","Light Rain","Heavy Rain")</f>
        <v>Mist</v>
      </c>
      <c r="S173" s="9" t="str">
        <f>TEXT(FinalData[[#This Row],[Date]],"mmm")</f>
        <v>Feb</v>
      </c>
    </row>
    <row r="174" spans="1:19" x14ac:dyDescent="0.3">
      <c r="A174">
        <v>783</v>
      </c>
      <c r="B174" s="1">
        <v>40579</v>
      </c>
      <c r="C174">
        <v>1</v>
      </c>
      <c r="D174">
        <v>0</v>
      </c>
      <c r="E174">
        <v>2</v>
      </c>
      <c r="F174">
        <v>1</v>
      </c>
      <c r="G174" t="b">
        <v>0</v>
      </c>
      <c r="H174">
        <v>6</v>
      </c>
      <c r="I174">
        <v>2</v>
      </c>
      <c r="J174">
        <v>0.24</v>
      </c>
      <c r="K174" s="6">
        <v>0.2424</v>
      </c>
      <c r="L174">
        <v>0.65</v>
      </c>
      <c r="M174">
        <v>0.16420000000000001</v>
      </c>
      <c r="N174" s="4">
        <v>1</v>
      </c>
      <c r="O174" s="4">
        <v>17</v>
      </c>
      <c r="P174" s="4">
        <v>18</v>
      </c>
      <c r="Q174" s="9" t="str">
        <f>CHOOSE(FinalData[[#This Row],[Season]],"Spring","Summer","Fall","Winter")</f>
        <v>Spring</v>
      </c>
      <c r="R174" s="9" t="str">
        <f>CHOOSE(FinalData[[#This Row],[Weathersituation]],"Clear","Mist","Light Rain","Heavy Rain")</f>
        <v>Mist</v>
      </c>
      <c r="S174" s="9" t="str">
        <f>TEXT(FinalData[[#This Row],[Date]],"mmm")</f>
        <v>Feb</v>
      </c>
    </row>
    <row r="175" spans="1:19" x14ac:dyDescent="0.3">
      <c r="A175">
        <v>784</v>
      </c>
      <c r="B175" s="1">
        <v>40579</v>
      </c>
      <c r="C175">
        <v>1</v>
      </c>
      <c r="D175">
        <v>0</v>
      </c>
      <c r="E175">
        <v>2</v>
      </c>
      <c r="F175">
        <v>2</v>
      </c>
      <c r="G175" t="b">
        <v>0</v>
      </c>
      <c r="H175">
        <v>6</v>
      </c>
      <c r="I175">
        <v>2</v>
      </c>
      <c r="J175">
        <v>0.24</v>
      </c>
      <c r="K175" s="6">
        <v>0.2424</v>
      </c>
      <c r="L175">
        <v>0.75</v>
      </c>
      <c r="M175">
        <v>0.16420000000000001</v>
      </c>
      <c r="N175" s="4">
        <v>5</v>
      </c>
      <c r="O175" s="4">
        <v>12</v>
      </c>
      <c r="P175" s="4">
        <v>17</v>
      </c>
      <c r="Q175" s="9" t="str">
        <f>CHOOSE(FinalData[[#This Row],[Season]],"Spring","Summer","Fall","Winter")</f>
        <v>Spring</v>
      </c>
      <c r="R175" s="9" t="str">
        <f>CHOOSE(FinalData[[#This Row],[Weathersituation]],"Clear","Mist","Light Rain","Heavy Rain")</f>
        <v>Mist</v>
      </c>
      <c r="S175" s="9" t="str">
        <f>TEXT(FinalData[[#This Row],[Date]],"mmm")</f>
        <v>Feb</v>
      </c>
    </row>
    <row r="176" spans="1:19" x14ac:dyDescent="0.3">
      <c r="A176">
        <v>785</v>
      </c>
      <c r="B176" s="1">
        <v>40579</v>
      </c>
      <c r="C176">
        <v>1</v>
      </c>
      <c r="D176">
        <v>0</v>
      </c>
      <c r="E176">
        <v>2</v>
      </c>
      <c r="F176">
        <v>3</v>
      </c>
      <c r="G176" t="b">
        <v>0</v>
      </c>
      <c r="H176">
        <v>6</v>
      </c>
      <c r="I176">
        <v>2</v>
      </c>
      <c r="J176">
        <v>0.24</v>
      </c>
      <c r="K176" s="6">
        <v>0.2424</v>
      </c>
      <c r="L176">
        <v>0.75</v>
      </c>
      <c r="M176">
        <v>0.16420000000000001</v>
      </c>
      <c r="N176" s="4">
        <v>1</v>
      </c>
      <c r="O176" s="4">
        <v>10</v>
      </c>
      <c r="P176" s="4">
        <v>11</v>
      </c>
      <c r="Q176" s="9" t="str">
        <f>CHOOSE(FinalData[[#This Row],[Season]],"Spring","Summer","Fall","Winter")</f>
        <v>Spring</v>
      </c>
      <c r="R176" s="9" t="str">
        <f>CHOOSE(FinalData[[#This Row],[Weathersituation]],"Clear","Mist","Light Rain","Heavy Rain")</f>
        <v>Mist</v>
      </c>
      <c r="S176" s="9" t="str">
        <f>TEXT(FinalData[[#This Row],[Date]],"mmm")</f>
        <v>Feb</v>
      </c>
    </row>
    <row r="177" spans="1:19" x14ac:dyDescent="0.3">
      <c r="A177">
        <v>786</v>
      </c>
      <c r="B177" s="1">
        <v>40579</v>
      </c>
      <c r="C177">
        <v>1</v>
      </c>
      <c r="D177">
        <v>0</v>
      </c>
      <c r="E177">
        <v>2</v>
      </c>
      <c r="F177">
        <v>4</v>
      </c>
      <c r="G177" t="b">
        <v>0</v>
      </c>
      <c r="H177">
        <v>6</v>
      </c>
      <c r="I177">
        <v>3</v>
      </c>
      <c r="J177">
        <v>0.22</v>
      </c>
      <c r="K177" s="6">
        <v>0.2273</v>
      </c>
      <c r="L177">
        <v>0.93</v>
      </c>
      <c r="M177">
        <v>0.1343</v>
      </c>
      <c r="N177" s="4">
        <v>0</v>
      </c>
      <c r="O177" s="4">
        <v>8</v>
      </c>
      <c r="P177" s="4">
        <v>8</v>
      </c>
      <c r="Q177" s="9" t="str">
        <f>CHOOSE(FinalData[[#This Row],[Season]],"Spring","Summer","Fall","Winter")</f>
        <v>Spring</v>
      </c>
      <c r="R177" s="9" t="str">
        <f>CHOOSE(FinalData[[#This Row],[Weathersituation]],"Clear","Mist","Light Rain","Heavy Rain")</f>
        <v>Light Rain</v>
      </c>
      <c r="S177" s="9" t="str">
        <f>TEXT(FinalData[[#This Row],[Date]],"mmm")</f>
        <v>Feb</v>
      </c>
    </row>
    <row r="178" spans="1:19" x14ac:dyDescent="0.3">
      <c r="A178">
        <v>787</v>
      </c>
      <c r="B178" s="1">
        <v>40579</v>
      </c>
      <c r="C178">
        <v>1</v>
      </c>
      <c r="D178">
        <v>0</v>
      </c>
      <c r="E178">
        <v>2</v>
      </c>
      <c r="F178">
        <v>5</v>
      </c>
      <c r="G178" t="b">
        <v>0</v>
      </c>
      <c r="H178">
        <v>6</v>
      </c>
      <c r="I178">
        <v>3</v>
      </c>
      <c r="J178">
        <v>0.2</v>
      </c>
      <c r="K178" s="6">
        <v>0.2273</v>
      </c>
      <c r="L178">
        <v>1</v>
      </c>
      <c r="M178">
        <v>8.9599999999999999E-2</v>
      </c>
      <c r="N178" s="4">
        <v>0</v>
      </c>
      <c r="O178" s="4">
        <v>9</v>
      </c>
      <c r="P178" s="4">
        <v>9</v>
      </c>
      <c r="Q178" s="9" t="str">
        <f>CHOOSE(FinalData[[#This Row],[Season]],"Spring","Summer","Fall","Winter")</f>
        <v>Spring</v>
      </c>
      <c r="R178" s="9" t="str">
        <f>CHOOSE(FinalData[[#This Row],[Weathersituation]],"Clear","Mist","Light Rain","Heavy Rain")</f>
        <v>Light Rain</v>
      </c>
      <c r="S178" s="9" t="str">
        <f>TEXT(FinalData[[#This Row],[Date]],"mmm")</f>
        <v>Feb</v>
      </c>
    </row>
    <row r="179" spans="1:19" x14ac:dyDescent="0.3">
      <c r="A179">
        <v>788</v>
      </c>
      <c r="B179" s="1">
        <v>40579</v>
      </c>
      <c r="C179">
        <v>1</v>
      </c>
      <c r="D179">
        <v>0</v>
      </c>
      <c r="E179">
        <v>2</v>
      </c>
      <c r="F179">
        <v>6</v>
      </c>
      <c r="G179" t="b">
        <v>0</v>
      </c>
      <c r="H179">
        <v>6</v>
      </c>
      <c r="I179">
        <v>3</v>
      </c>
      <c r="J179">
        <v>0.2</v>
      </c>
      <c r="K179" s="6">
        <v>0.2576</v>
      </c>
      <c r="L179">
        <v>1</v>
      </c>
      <c r="M179">
        <v>0</v>
      </c>
      <c r="N179" s="4">
        <v>0</v>
      </c>
      <c r="O179" s="4">
        <v>4</v>
      </c>
      <c r="P179" s="4">
        <v>4</v>
      </c>
      <c r="Q179" s="9" t="str">
        <f>CHOOSE(FinalData[[#This Row],[Season]],"Spring","Summer","Fall","Winter")</f>
        <v>Spring</v>
      </c>
      <c r="R179" s="9" t="str">
        <f>CHOOSE(FinalData[[#This Row],[Weathersituation]],"Clear","Mist","Light Rain","Heavy Rain")</f>
        <v>Light Rain</v>
      </c>
      <c r="S179" s="9" t="str">
        <f>TEXT(FinalData[[#This Row],[Date]],"mmm")</f>
        <v>Feb</v>
      </c>
    </row>
    <row r="180" spans="1:19" x14ac:dyDescent="0.3">
      <c r="A180">
        <v>789</v>
      </c>
      <c r="B180" s="1">
        <v>40579</v>
      </c>
      <c r="C180">
        <v>1</v>
      </c>
      <c r="D180">
        <v>0</v>
      </c>
      <c r="E180">
        <v>2</v>
      </c>
      <c r="F180">
        <v>7</v>
      </c>
      <c r="G180" t="b">
        <v>0</v>
      </c>
      <c r="H180">
        <v>6</v>
      </c>
      <c r="I180">
        <v>3</v>
      </c>
      <c r="J180">
        <v>0.22</v>
      </c>
      <c r="K180" s="6">
        <v>0.2576</v>
      </c>
      <c r="L180">
        <v>0.93</v>
      </c>
      <c r="M180">
        <v>8.9599999999999999E-2</v>
      </c>
      <c r="N180" s="4">
        <v>0</v>
      </c>
      <c r="O180" s="4">
        <v>4</v>
      </c>
      <c r="P180" s="4">
        <v>4</v>
      </c>
      <c r="Q180" s="9" t="str">
        <f>CHOOSE(FinalData[[#This Row],[Season]],"Spring","Summer","Fall","Winter")</f>
        <v>Spring</v>
      </c>
      <c r="R180" s="9" t="str">
        <f>CHOOSE(FinalData[[#This Row],[Weathersituation]],"Clear","Mist","Light Rain","Heavy Rain")</f>
        <v>Light Rain</v>
      </c>
      <c r="S180" s="9" t="str">
        <f>TEXT(FinalData[[#This Row],[Date]],"mmm")</f>
        <v>Feb</v>
      </c>
    </row>
    <row r="181" spans="1:19" x14ac:dyDescent="0.3">
      <c r="A181">
        <v>790</v>
      </c>
      <c r="B181" s="1">
        <v>40579</v>
      </c>
      <c r="C181">
        <v>1</v>
      </c>
      <c r="D181">
        <v>0</v>
      </c>
      <c r="E181">
        <v>2</v>
      </c>
      <c r="F181">
        <v>8</v>
      </c>
      <c r="G181" t="b">
        <v>0</v>
      </c>
      <c r="H181">
        <v>6</v>
      </c>
      <c r="I181">
        <v>3</v>
      </c>
      <c r="J181">
        <v>0.2</v>
      </c>
      <c r="K181" s="6">
        <v>0.2273</v>
      </c>
      <c r="L181">
        <v>1</v>
      </c>
      <c r="M181">
        <v>8.9599999999999999E-2</v>
      </c>
      <c r="N181" s="4">
        <v>0</v>
      </c>
      <c r="O181" s="4">
        <v>10</v>
      </c>
      <c r="P181" s="4">
        <v>10</v>
      </c>
      <c r="Q181" s="9" t="str">
        <f>CHOOSE(FinalData[[#This Row],[Season]],"Spring","Summer","Fall","Winter")</f>
        <v>Spring</v>
      </c>
      <c r="R181" s="9" t="str">
        <f>CHOOSE(FinalData[[#This Row],[Weathersituation]],"Clear","Mist","Light Rain","Heavy Rain")</f>
        <v>Light Rain</v>
      </c>
      <c r="S181" s="9" t="str">
        <f>TEXT(FinalData[[#This Row],[Date]],"mmm")</f>
        <v>Feb</v>
      </c>
    </row>
    <row r="182" spans="1:19" x14ac:dyDescent="0.3">
      <c r="A182">
        <v>791</v>
      </c>
      <c r="B182" s="1">
        <v>40579</v>
      </c>
      <c r="C182">
        <v>1</v>
      </c>
      <c r="D182">
        <v>0</v>
      </c>
      <c r="E182">
        <v>2</v>
      </c>
      <c r="F182">
        <v>9</v>
      </c>
      <c r="G182" t="b">
        <v>0</v>
      </c>
      <c r="H182">
        <v>6</v>
      </c>
      <c r="I182">
        <v>3</v>
      </c>
      <c r="J182">
        <v>0.2</v>
      </c>
      <c r="K182" s="6">
        <v>0.2273</v>
      </c>
      <c r="L182">
        <v>1</v>
      </c>
      <c r="M182">
        <v>8.9599999999999999E-2</v>
      </c>
      <c r="N182" s="4">
        <v>3</v>
      </c>
      <c r="O182" s="4">
        <v>17</v>
      </c>
      <c r="P182" s="4">
        <v>20</v>
      </c>
      <c r="Q182" s="9" t="str">
        <f>CHOOSE(FinalData[[#This Row],[Season]],"Spring","Summer","Fall","Winter")</f>
        <v>Spring</v>
      </c>
      <c r="R182" s="9" t="str">
        <f>CHOOSE(FinalData[[#This Row],[Weathersituation]],"Clear","Mist","Light Rain","Heavy Rain")</f>
        <v>Light Rain</v>
      </c>
      <c r="S182" s="9" t="str">
        <f>TEXT(FinalData[[#This Row],[Date]],"mmm")</f>
        <v>Feb</v>
      </c>
    </row>
    <row r="183" spans="1:19" x14ac:dyDescent="0.3">
      <c r="A183">
        <v>792</v>
      </c>
      <c r="B183" s="1">
        <v>40579</v>
      </c>
      <c r="C183">
        <v>1</v>
      </c>
      <c r="D183">
        <v>0</v>
      </c>
      <c r="E183">
        <v>2</v>
      </c>
      <c r="F183">
        <v>10</v>
      </c>
      <c r="G183" t="b">
        <v>0</v>
      </c>
      <c r="H183">
        <v>6</v>
      </c>
      <c r="I183">
        <v>3</v>
      </c>
      <c r="J183">
        <v>0.2</v>
      </c>
      <c r="K183" s="6">
        <v>0.21210000000000001</v>
      </c>
      <c r="L183">
        <v>1</v>
      </c>
      <c r="M183">
        <v>0.1343</v>
      </c>
      <c r="N183" s="4">
        <v>3</v>
      </c>
      <c r="O183" s="4">
        <v>31</v>
      </c>
      <c r="P183" s="4">
        <v>34</v>
      </c>
      <c r="Q183" s="9" t="str">
        <f>CHOOSE(FinalData[[#This Row],[Season]],"Spring","Summer","Fall","Winter")</f>
        <v>Spring</v>
      </c>
      <c r="R183" s="9" t="str">
        <f>CHOOSE(FinalData[[#This Row],[Weathersituation]],"Clear","Mist","Light Rain","Heavy Rain")</f>
        <v>Light Rain</v>
      </c>
      <c r="S183" s="9" t="str">
        <f>TEXT(FinalData[[#This Row],[Date]],"mmm")</f>
        <v>Feb</v>
      </c>
    </row>
    <row r="184" spans="1:19" x14ac:dyDescent="0.3">
      <c r="A184">
        <v>793</v>
      </c>
      <c r="B184" s="1">
        <v>40579</v>
      </c>
      <c r="C184">
        <v>1</v>
      </c>
      <c r="D184">
        <v>0</v>
      </c>
      <c r="E184">
        <v>2</v>
      </c>
      <c r="F184">
        <v>11</v>
      </c>
      <c r="G184" t="b">
        <v>0</v>
      </c>
      <c r="H184">
        <v>6</v>
      </c>
      <c r="I184">
        <v>3</v>
      </c>
      <c r="J184">
        <v>0.22</v>
      </c>
      <c r="K184" s="6">
        <v>0.2273</v>
      </c>
      <c r="L184">
        <v>1</v>
      </c>
      <c r="M184">
        <v>0.1343</v>
      </c>
      <c r="N184" s="4">
        <v>1</v>
      </c>
      <c r="O184" s="4">
        <v>46</v>
      </c>
      <c r="P184" s="4">
        <v>47</v>
      </c>
      <c r="Q184" s="9" t="str">
        <f>CHOOSE(FinalData[[#This Row],[Season]],"Spring","Summer","Fall","Winter")</f>
        <v>Spring</v>
      </c>
      <c r="R184" s="9" t="str">
        <f>CHOOSE(FinalData[[#This Row],[Weathersituation]],"Clear","Mist","Light Rain","Heavy Rain")</f>
        <v>Light Rain</v>
      </c>
      <c r="S184" s="9" t="str">
        <f>TEXT(FinalData[[#This Row],[Date]],"mmm")</f>
        <v>Feb</v>
      </c>
    </row>
    <row r="185" spans="1:19" x14ac:dyDescent="0.3">
      <c r="A185">
        <v>794</v>
      </c>
      <c r="B185" s="1">
        <v>40579</v>
      </c>
      <c r="C185">
        <v>1</v>
      </c>
      <c r="D185">
        <v>0</v>
      </c>
      <c r="E185">
        <v>2</v>
      </c>
      <c r="F185">
        <v>12</v>
      </c>
      <c r="G185" t="b">
        <v>0</v>
      </c>
      <c r="H185">
        <v>6</v>
      </c>
      <c r="I185">
        <v>3</v>
      </c>
      <c r="J185">
        <v>0.22</v>
      </c>
      <c r="K185" s="6">
        <v>0.2273</v>
      </c>
      <c r="L185">
        <v>1</v>
      </c>
      <c r="M185">
        <v>0.16420000000000001</v>
      </c>
      <c r="N185" s="4">
        <v>10</v>
      </c>
      <c r="O185" s="4">
        <v>42</v>
      </c>
      <c r="P185" s="4">
        <v>52</v>
      </c>
      <c r="Q185" s="9" t="str">
        <f>CHOOSE(FinalData[[#This Row],[Season]],"Spring","Summer","Fall","Winter")</f>
        <v>Spring</v>
      </c>
      <c r="R185" s="9" t="str">
        <f>CHOOSE(FinalData[[#This Row],[Weathersituation]],"Clear","Mist","Light Rain","Heavy Rain")</f>
        <v>Light Rain</v>
      </c>
      <c r="S185" s="9" t="str">
        <f>TEXT(FinalData[[#This Row],[Date]],"mmm")</f>
        <v>Feb</v>
      </c>
    </row>
    <row r="186" spans="1:19" x14ac:dyDescent="0.3">
      <c r="A186">
        <v>795</v>
      </c>
      <c r="B186" s="1">
        <v>40579</v>
      </c>
      <c r="C186">
        <v>1</v>
      </c>
      <c r="D186">
        <v>0</v>
      </c>
      <c r="E186">
        <v>2</v>
      </c>
      <c r="F186">
        <v>13</v>
      </c>
      <c r="G186" t="b">
        <v>0</v>
      </c>
      <c r="H186">
        <v>6</v>
      </c>
      <c r="I186">
        <v>3</v>
      </c>
      <c r="J186">
        <v>0.22</v>
      </c>
      <c r="K186" s="6">
        <v>0.2273</v>
      </c>
      <c r="L186">
        <v>1</v>
      </c>
      <c r="M186">
        <v>0.16420000000000001</v>
      </c>
      <c r="N186" s="4">
        <v>10</v>
      </c>
      <c r="O186" s="4">
        <v>62</v>
      </c>
      <c r="P186" s="4">
        <v>72</v>
      </c>
      <c r="Q186" s="9" t="str">
        <f>CHOOSE(FinalData[[#This Row],[Season]],"Spring","Summer","Fall","Winter")</f>
        <v>Spring</v>
      </c>
      <c r="R186" s="9" t="str">
        <f>CHOOSE(FinalData[[#This Row],[Weathersituation]],"Clear","Mist","Light Rain","Heavy Rain")</f>
        <v>Light Rain</v>
      </c>
      <c r="S186" s="9" t="str">
        <f>TEXT(FinalData[[#This Row],[Date]],"mmm")</f>
        <v>Feb</v>
      </c>
    </row>
    <row r="187" spans="1:19" x14ac:dyDescent="0.3">
      <c r="A187">
        <v>796</v>
      </c>
      <c r="B187" s="1">
        <v>40579</v>
      </c>
      <c r="C187">
        <v>1</v>
      </c>
      <c r="D187">
        <v>0</v>
      </c>
      <c r="E187">
        <v>2</v>
      </c>
      <c r="F187">
        <v>14</v>
      </c>
      <c r="G187" t="b">
        <v>0</v>
      </c>
      <c r="H187">
        <v>6</v>
      </c>
      <c r="I187">
        <v>3</v>
      </c>
      <c r="J187">
        <v>0.22</v>
      </c>
      <c r="K187" s="6">
        <v>0.2727</v>
      </c>
      <c r="L187">
        <v>1</v>
      </c>
      <c r="M187">
        <v>0</v>
      </c>
      <c r="N187" s="4">
        <v>5</v>
      </c>
      <c r="O187" s="4">
        <v>50</v>
      </c>
      <c r="P187" s="4">
        <v>55</v>
      </c>
      <c r="Q187" s="9" t="str">
        <f>CHOOSE(FinalData[[#This Row],[Season]],"Spring","Summer","Fall","Winter")</f>
        <v>Spring</v>
      </c>
      <c r="R187" s="9" t="str">
        <f>CHOOSE(FinalData[[#This Row],[Weathersituation]],"Clear","Mist","Light Rain","Heavy Rain")</f>
        <v>Light Rain</v>
      </c>
      <c r="S187" s="9" t="str">
        <f>TEXT(FinalData[[#This Row],[Date]],"mmm")</f>
        <v>Feb</v>
      </c>
    </row>
    <row r="188" spans="1:19" x14ac:dyDescent="0.3">
      <c r="A188">
        <v>797</v>
      </c>
      <c r="B188" s="1">
        <v>40579</v>
      </c>
      <c r="C188">
        <v>1</v>
      </c>
      <c r="D188">
        <v>0</v>
      </c>
      <c r="E188">
        <v>2</v>
      </c>
      <c r="F188">
        <v>15</v>
      </c>
      <c r="G188" t="b">
        <v>0</v>
      </c>
      <c r="H188">
        <v>6</v>
      </c>
      <c r="I188">
        <v>3</v>
      </c>
      <c r="J188">
        <v>0.22</v>
      </c>
      <c r="K188" s="6">
        <v>0.2727</v>
      </c>
      <c r="L188">
        <v>1</v>
      </c>
      <c r="M188">
        <v>0</v>
      </c>
      <c r="N188" s="4">
        <v>11</v>
      </c>
      <c r="O188" s="4">
        <v>49</v>
      </c>
      <c r="P188" s="4">
        <v>60</v>
      </c>
      <c r="Q188" s="9" t="str">
        <f>CHOOSE(FinalData[[#This Row],[Season]],"Spring","Summer","Fall","Winter")</f>
        <v>Spring</v>
      </c>
      <c r="R188" s="9" t="str">
        <f>CHOOSE(FinalData[[#This Row],[Weathersituation]],"Clear","Mist","Light Rain","Heavy Rain")</f>
        <v>Light Rain</v>
      </c>
      <c r="S188" s="9" t="str">
        <f>TEXT(FinalData[[#This Row],[Date]],"mmm")</f>
        <v>Feb</v>
      </c>
    </row>
    <row r="189" spans="1:19" x14ac:dyDescent="0.3">
      <c r="A189">
        <v>798</v>
      </c>
      <c r="B189" s="1">
        <v>40579</v>
      </c>
      <c r="C189">
        <v>1</v>
      </c>
      <c r="D189">
        <v>0</v>
      </c>
      <c r="E189">
        <v>2</v>
      </c>
      <c r="F189">
        <v>16</v>
      </c>
      <c r="G189" t="b">
        <v>0</v>
      </c>
      <c r="H189">
        <v>6</v>
      </c>
      <c r="I189">
        <v>3</v>
      </c>
      <c r="J189">
        <v>0.22</v>
      </c>
      <c r="K189" s="6">
        <v>0.2273</v>
      </c>
      <c r="L189">
        <v>1</v>
      </c>
      <c r="M189">
        <v>0.1343</v>
      </c>
      <c r="N189" s="4">
        <v>8</v>
      </c>
      <c r="O189" s="4">
        <v>63</v>
      </c>
      <c r="P189" s="4">
        <v>71</v>
      </c>
      <c r="Q189" s="9" t="str">
        <f>CHOOSE(FinalData[[#This Row],[Season]],"Spring","Summer","Fall","Winter")</f>
        <v>Spring</v>
      </c>
      <c r="R189" s="9" t="str">
        <f>CHOOSE(FinalData[[#This Row],[Weathersituation]],"Clear","Mist","Light Rain","Heavy Rain")</f>
        <v>Light Rain</v>
      </c>
      <c r="S189" s="9" t="str">
        <f>TEXT(FinalData[[#This Row],[Date]],"mmm")</f>
        <v>Feb</v>
      </c>
    </row>
    <row r="190" spans="1:19" x14ac:dyDescent="0.3">
      <c r="A190">
        <v>799</v>
      </c>
      <c r="B190" s="1">
        <v>40579</v>
      </c>
      <c r="C190">
        <v>1</v>
      </c>
      <c r="D190">
        <v>0</v>
      </c>
      <c r="E190">
        <v>2</v>
      </c>
      <c r="F190">
        <v>17</v>
      </c>
      <c r="G190" t="b">
        <v>0</v>
      </c>
      <c r="H190">
        <v>6</v>
      </c>
      <c r="I190">
        <v>2</v>
      </c>
      <c r="J190">
        <v>0.24</v>
      </c>
      <c r="K190" s="6">
        <v>0.21210000000000001</v>
      </c>
      <c r="L190">
        <v>1</v>
      </c>
      <c r="M190">
        <v>0.28360000000000002</v>
      </c>
      <c r="N190" s="4">
        <v>14</v>
      </c>
      <c r="O190" s="4">
        <v>64</v>
      </c>
      <c r="P190" s="4">
        <v>78</v>
      </c>
      <c r="Q190" s="9" t="str">
        <f>CHOOSE(FinalData[[#This Row],[Season]],"Spring","Summer","Fall","Winter")</f>
        <v>Spring</v>
      </c>
      <c r="R190" s="9" t="str">
        <f>CHOOSE(FinalData[[#This Row],[Weathersituation]],"Clear","Mist","Light Rain","Heavy Rain")</f>
        <v>Mist</v>
      </c>
      <c r="S190" s="9" t="str">
        <f>TEXT(FinalData[[#This Row],[Date]],"mmm")</f>
        <v>Feb</v>
      </c>
    </row>
    <row r="191" spans="1:19" x14ac:dyDescent="0.3">
      <c r="A191">
        <v>800</v>
      </c>
      <c r="B191" s="1">
        <v>40579</v>
      </c>
      <c r="C191">
        <v>1</v>
      </c>
      <c r="D191">
        <v>0</v>
      </c>
      <c r="E191">
        <v>2</v>
      </c>
      <c r="F191">
        <v>18</v>
      </c>
      <c r="G191" t="b">
        <v>0</v>
      </c>
      <c r="H191">
        <v>6</v>
      </c>
      <c r="I191">
        <v>2</v>
      </c>
      <c r="J191">
        <v>0.28000000000000003</v>
      </c>
      <c r="K191" s="6">
        <v>0.2424</v>
      </c>
      <c r="L191">
        <v>0.93</v>
      </c>
      <c r="M191">
        <v>0.44779999999999998</v>
      </c>
      <c r="N191" s="4">
        <v>2</v>
      </c>
      <c r="O191" s="4">
        <v>81</v>
      </c>
      <c r="P191" s="4">
        <v>83</v>
      </c>
      <c r="Q191" s="9" t="str">
        <f>CHOOSE(FinalData[[#This Row],[Season]],"Spring","Summer","Fall","Winter")</f>
        <v>Spring</v>
      </c>
      <c r="R191" s="9" t="str">
        <f>CHOOSE(FinalData[[#This Row],[Weathersituation]],"Clear","Mist","Light Rain","Heavy Rain")</f>
        <v>Mist</v>
      </c>
      <c r="S191" s="9" t="str">
        <f>TEXT(FinalData[[#This Row],[Date]],"mmm")</f>
        <v>Feb</v>
      </c>
    </row>
    <row r="192" spans="1:19" x14ac:dyDescent="0.3">
      <c r="A192">
        <v>801</v>
      </c>
      <c r="B192" s="1">
        <v>40579</v>
      </c>
      <c r="C192">
        <v>1</v>
      </c>
      <c r="D192">
        <v>0</v>
      </c>
      <c r="E192">
        <v>2</v>
      </c>
      <c r="F192">
        <v>19</v>
      </c>
      <c r="G192" t="b">
        <v>0</v>
      </c>
      <c r="H192">
        <v>6</v>
      </c>
      <c r="I192">
        <v>2</v>
      </c>
      <c r="J192">
        <v>0.28000000000000003</v>
      </c>
      <c r="K192" s="6">
        <v>0.2424</v>
      </c>
      <c r="L192">
        <v>0.93</v>
      </c>
      <c r="M192">
        <v>0.44779999999999998</v>
      </c>
      <c r="N192" s="4">
        <v>6</v>
      </c>
      <c r="O192" s="4">
        <v>78</v>
      </c>
      <c r="P192" s="4">
        <v>84</v>
      </c>
      <c r="Q192" s="9" t="str">
        <f>CHOOSE(FinalData[[#This Row],[Season]],"Spring","Summer","Fall","Winter")</f>
        <v>Spring</v>
      </c>
      <c r="R192" s="9" t="str">
        <f>CHOOSE(FinalData[[#This Row],[Weathersituation]],"Clear","Mist","Light Rain","Heavy Rain")</f>
        <v>Mist</v>
      </c>
      <c r="S192" s="9" t="str">
        <f>TEXT(FinalData[[#This Row],[Date]],"mmm")</f>
        <v>Feb</v>
      </c>
    </row>
    <row r="193" spans="1:19" x14ac:dyDescent="0.3">
      <c r="A193">
        <v>802</v>
      </c>
      <c r="B193" s="1">
        <v>40579</v>
      </c>
      <c r="C193">
        <v>1</v>
      </c>
      <c r="D193">
        <v>0</v>
      </c>
      <c r="E193">
        <v>2</v>
      </c>
      <c r="F193">
        <v>20</v>
      </c>
      <c r="G193" t="b">
        <v>0</v>
      </c>
      <c r="H193">
        <v>6</v>
      </c>
      <c r="I193">
        <v>1</v>
      </c>
      <c r="J193">
        <v>0.3</v>
      </c>
      <c r="K193" s="6">
        <v>0.28789999999999999</v>
      </c>
      <c r="L193">
        <v>0.87</v>
      </c>
      <c r="M193">
        <v>0.25369999999999998</v>
      </c>
      <c r="N193" s="4">
        <v>5</v>
      </c>
      <c r="O193" s="4">
        <v>64</v>
      </c>
      <c r="P193" s="4">
        <v>69</v>
      </c>
      <c r="Q193" s="9" t="str">
        <f>CHOOSE(FinalData[[#This Row],[Season]],"Spring","Summer","Fall","Winter")</f>
        <v>Spring</v>
      </c>
      <c r="R193" s="9" t="str">
        <f>CHOOSE(FinalData[[#This Row],[Weathersituation]],"Clear","Mist","Light Rain","Heavy Rain")</f>
        <v>Clear</v>
      </c>
      <c r="S193" s="9" t="str">
        <f>TEXT(FinalData[[#This Row],[Date]],"mmm")</f>
        <v>Feb</v>
      </c>
    </row>
    <row r="194" spans="1:19" x14ac:dyDescent="0.3">
      <c r="A194">
        <v>803</v>
      </c>
      <c r="B194" s="1">
        <v>40579</v>
      </c>
      <c r="C194">
        <v>1</v>
      </c>
      <c r="D194">
        <v>0</v>
      </c>
      <c r="E194">
        <v>2</v>
      </c>
      <c r="F194">
        <v>21</v>
      </c>
      <c r="G194" t="b">
        <v>0</v>
      </c>
      <c r="H194">
        <v>6</v>
      </c>
      <c r="I194">
        <v>1</v>
      </c>
      <c r="J194">
        <v>0.26</v>
      </c>
      <c r="K194" s="6">
        <v>0.2576</v>
      </c>
      <c r="L194">
        <v>1</v>
      </c>
      <c r="M194">
        <v>0.19400000000000001</v>
      </c>
      <c r="N194" s="4">
        <v>3</v>
      </c>
      <c r="O194" s="4">
        <v>53</v>
      </c>
      <c r="P194" s="4">
        <v>56</v>
      </c>
      <c r="Q194" s="9" t="str">
        <f>CHOOSE(FinalData[[#This Row],[Season]],"Spring","Summer","Fall","Winter")</f>
        <v>Spring</v>
      </c>
      <c r="R194" s="9" t="str">
        <f>CHOOSE(FinalData[[#This Row],[Weathersituation]],"Clear","Mist","Light Rain","Heavy Rain")</f>
        <v>Clear</v>
      </c>
      <c r="S194" s="9" t="str">
        <f>TEXT(FinalData[[#This Row],[Date]],"mmm")</f>
        <v>Feb</v>
      </c>
    </row>
    <row r="195" spans="1:19" x14ac:dyDescent="0.3">
      <c r="A195">
        <v>804</v>
      </c>
      <c r="B195" s="1">
        <v>40579</v>
      </c>
      <c r="C195">
        <v>1</v>
      </c>
      <c r="D195">
        <v>0</v>
      </c>
      <c r="E195">
        <v>2</v>
      </c>
      <c r="F195">
        <v>22</v>
      </c>
      <c r="G195" t="b">
        <v>0</v>
      </c>
      <c r="H195">
        <v>6</v>
      </c>
      <c r="I195">
        <v>1</v>
      </c>
      <c r="J195">
        <v>0.26</v>
      </c>
      <c r="K195" s="6">
        <v>0.2727</v>
      </c>
      <c r="L195">
        <v>0.93</v>
      </c>
      <c r="M195">
        <v>0.1343</v>
      </c>
      <c r="N195" s="4">
        <v>2</v>
      </c>
      <c r="O195" s="4">
        <v>43</v>
      </c>
      <c r="P195" s="4">
        <v>45</v>
      </c>
      <c r="Q195" s="9" t="str">
        <f>CHOOSE(FinalData[[#This Row],[Season]],"Spring","Summer","Fall","Winter")</f>
        <v>Spring</v>
      </c>
      <c r="R195" s="9" t="str">
        <f>CHOOSE(FinalData[[#This Row],[Weathersituation]],"Clear","Mist","Light Rain","Heavy Rain")</f>
        <v>Clear</v>
      </c>
      <c r="S195" s="9" t="str">
        <f>TEXT(FinalData[[#This Row],[Date]],"mmm")</f>
        <v>Feb</v>
      </c>
    </row>
    <row r="196" spans="1:19" x14ac:dyDescent="0.3">
      <c r="A196">
        <v>805</v>
      </c>
      <c r="B196" s="1">
        <v>40579</v>
      </c>
      <c r="C196">
        <v>1</v>
      </c>
      <c r="D196">
        <v>0</v>
      </c>
      <c r="E196">
        <v>2</v>
      </c>
      <c r="F196">
        <v>23</v>
      </c>
      <c r="G196" t="b">
        <v>0</v>
      </c>
      <c r="H196">
        <v>6</v>
      </c>
      <c r="I196">
        <v>1</v>
      </c>
      <c r="J196">
        <v>0.26</v>
      </c>
      <c r="K196" s="6">
        <v>0.2576</v>
      </c>
      <c r="L196">
        <v>0.93</v>
      </c>
      <c r="M196">
        <v>0.22389999999999999</v>
      </c>
      <c r="N196" s="4">
        <v>7</v>
      </c>
      <c r="O196" s="4">
        <v>52</v>
      </c>
      <c r="P196" s="4">
        <v>59</v>
      </c>
      <c r="Q196" s="9" t="str">
        <f>CHOOSE(FinalData[[#This Row],[Season]],"Spring","Summer","Fall","Winter")</f>
        <v>Spring</v>
      </c>
      <c r="R196" s="9" t="str">
        <f>CHOOSE(FinalData[[#This Row],[Weathersituation]],"Clear","Mist","Light Rain","Heavy Rain")</f>
        <v>Clear</v>
      </c>
      <c r="S196" s="9" t="str">
        <f>TEXT(FinalData[[#This Row],[Date]],"mmm")</f>
        <v>Feb</v>
      </c>
    </row>
    <row r="197" spans="1:19" x14ac:dyDescent="0.3">
      <c r="A197">
        <v>806</v>
      </c>
      <c r="B197" s="1">
        <v>40580</v>
      </c>
      <c r="C197">
        <v>1</v>
      </c>
      <c r="D197">
        <v>0</v>
      </c>
      <c r="E197">
        <v>2</v>
      </c>
      <c r="F197">
        <v>0</v>
      </c>
      <c r="G197" t="b">
        <v>0</v>
      </c>
      <c r="H197">
        <v>0</v>
      </c>
      <c r="I197">
        <v>1</v>
      </c>
      <c r="J197">
        <v>0.26</v>
      </c>
      <c r="K197" s="6">
        <v>0.2576</v>
      </c>
      <c r="L197">
        <v>0.7</v>
      </c>
      <c r="M197">
        <v>0.19400000000000001</v>
      </c>
      <c r="N197" s="4">
        <v>2</v>
      </c>
      <c r="O197" s="4">
        <v>37</v>
      </c>
      <c r="P197" s="4">
        <v>39</v>
      </c>
      <c r="Q197" s="9" t="str">
        <f>CHOOSE(FinalData[[#This Row],[Season]],"Spring","Summer","Fall","Winter")</f>
        <v>Spring</v>
      </c>
      <c r="R197" s="9" t="str">
        <f>CHOOSE(FinalData[[#This Row],[Weathersituation]],"Clear","Mist","Light Rain","Heavy Rain")</f>
        <v>Clear</v>
      </c>
      <c r="S197" s="9" t="str">
        <f>TEXT(FinalData[[#This Row],[Date]],"mmm")</f>
        <v>Feb</v>
      </c>
    </row>
    <row r="198" spans="1:19" x14ac:dyDescent="0.3">
      <c r="A198">
        <v>807</v>
      </c>
      <c r="B198" s="1">
        <v>40580</v>
      </c>
      <c r="C198">
        <v>1</v>
      </c>
      <c r="D198">
        <v>0</v>
      </c>
      <c r="E198">
        <v>2</v>
      </c>
      <c r="F198">
        <v>1</v>
      </c>
      <c r="G198" t="b">
        <v>0</v>
      </c>
      <c r="H198">
        <v>0</v>
      </c>
      <c r="I198">
        <v>1</v>
      </c>
      <c r="J198">
        <v>0.26</v>
      </c>
      <c r="K198" s="6">
        <v>0.2273</v>
      </c>
      <c r="L198">
        <v>0.65</v>
      </c>
      <c r="M198">
        <v>0.41789999999999999</v>
      </c>
      <c r="N198" s="4">
        <v>4</v>
      </c>
      <c r="O198" s="4">
        <v>40</v>
      </c>
      <c r="P198" s="4">
        <v>44</v>
      </c>
      <c r="Q198" s="9" t="str">
        <f>CHOOSE(FinalData[[#This Row],[Season]],"Spring","Summer","Fall","Winter")</f>
        <v>Spring</v>
      </c>
      <c r="R198" s="9" t="str">
        <f>CHOOSE(FinalData[[#This Row],[Weathersituation]],"Clear","Mist","Light Rain","Heavy Rain")</f>
        <v>Clear</v>
      </c>
      <c r="S198" s="9" t="str">
        <f>TEXT(FinalData[[#This Row],[Date]],"mmm")</f>
        <v>Feb</v>
      </c>
    </row>
    <row r="199" spans="1:19" x14ac:dyDescent="0.3">
      <c r="A199">
        <v>808</v>
      </c>
      <c r="B199" s="1">
        <v>40580</v>
      </c>
      <c r="C199">
        <v>1</v>
      </c>
      <c r="D199">
        <v>0</v>
      </c>
      <c r="E199">
        <v>2</v>
      </c>
      <c r="F199">
        <v>2</v>
      </c>
      <c r="G199" t="b">
        <v>0</v>
      </c>
      <c r="H199">
        <v>0</v>
      </c>
      <c r="I199">
        <v>1</v>
      </c>
      <c r="J199">
        <v>0.26</v>
      </c>
      <c r="K199" s="6">
        <v>0.2273</v>
      </c>
      <c r="L199">
        <v>0.6</v>
      </c>
      <c r="M199">
        <v>0.32840000000000003</v>
      </c>
      <c r="N199" s="4">
        <v>0</v>
      </c>
      <c r="O199" s="4">
        <v>20</v>
      </c>
      <c r="P199" s="4">
        <v>20</v>
      </c>
      <c r="Q199" s="9" t="str">
        <f>CHOOSE(FinalData[[#This Row],[Season]],"Spring","Summer","Fall","Winter")</f>
        <v>Spring</v>
      </c>
      <c r="R199" s="9" t="str">
        <f>CHOOSE(FinalData[[#This Row],[Weathersituation]],"Clear","Mist","Light Rain","Heavy Rain")</f>
        <v>Clear</v>
      </c>
      <c r="S199" s="9" t="str">
        <f>TEXT(FinalData[[#This Row],[Date]],"mmm")</f>
        <v>Feb</v>
      </c>
    </row>
    <row r="200" spans="1:19" x14ac:dyDescent="0.3">
      <c r="A200">
        <v>809</v>
      </c>
      <c r="B200" s="1">
        <v>40580</v>
      </c>
      <c r="C200">
        <v>1</v>
      </c>
      <c r="D200">
        <v>0</v>
      </c>
      <c r="E200">
        <v>2</v>
      </c>
      <c r="F200">
        <v>3</v>
      </c>
      <c r="G200" t="b">
        <v>0</v>
      </c>
      <c r="H200">
        <v>0</v>
      </c>
      <c r="I200">
        <v>1</v>
      </c>
      <c r="J200">
        <v>0.26</v>
      </c>
      <c r="K200" s="6">
        <v>0.28789999999999999</v>
      </c>
      <c r="L200">
        <v>0.6</v>
      </c>
      <c r="M200">
        <v>8.9599999999999999E-2</v>
      </c>
      <c r="N200" s="4">
        <v>3</v>
      </c>
      <c r="O200" s="4">
        <v>10</v>
      </c>
      <c r="P200" s="4">
        <v>13</v>
      </c>
      <c r="Q200" s="9" t="str">
        <f>CHOOSE(FinalData[[#This Row],[Season]],"Spring","Summer","Fall","Winter")</f>
        <v>Spring</v>
      </c>
      <c r="R200" s="9" t="str">
        <f>CHOOSE(FinalData[[#This Row],[Weathersituation]],"Clear","Mist","Light Rain","Heavy Rain")</f>
        <v>Clear</v>
      </c>
      <c r="S200" s="9" t="str">
        <f>TEXT(FinalData[[#This Row],[Date]],"mmm")</f>
        <v>Feb</v>
      </c>
    </row>
    <row r="201" spans="1:19" x14ac:dyDescent="0.3">
      <c r="A201">
        <v>810</v>
      </c>
      <c r="B201" s="1">
        <v>40580</v>
      </c>
      <c r="C201">
        <v>1</v>
      </c>
      <c r="D201">
        <v>0</v>
      </c>
      <c r="E201">
        <v>2</v>
      </c>
      <c r="F201">
        <v>4</v>
      </c>
      <c r="G201" t="b">
        <v>0</v>
      </c>
      <c r="H201">
        <v>0</v>
      </c>
      <c r="I201">
        <v>1</v>
      </c>
      <c r="J201">
        <v>0.26</v>
      </c>
      <c r="K201" s="6">
        <v>0.2273</v>
      </c>
      <c r="L201">
        <v>0.6</v>
      </c>
      <c r="M201">
        <v>0.35820000000000002</v>
      </c>
      <c r="N201" s="4">
        <v>0</v>
      </c>
      <c r="O201" s="4">
        <v>2</v>
      </c>
      <c r="P201" s="4">
        <v>2</v>
      </c>
      <c r="Q201" s="9" t="str">
        <f>CHOOSE(FinalData[[#This Row],[Season]],"Spring","Summer","Fall","Winter")</f>
        <v>Spring</v>
      </c>
      <c r="R201" s="9" t="str">
        <f>CHOOSE(FinalData[[#This Row],[Weathersituation]],"Clear","Mist","Light Rain","Heavy Rain")</f>
        <v>Clear</v>
      </c>
      <c r="S201" s="9" t="str">
        <f>TEXT(FinalData[[#This Row],[Date]],"mmm")</f>
        <v>Feb</v>
      </c>
    </row>
    <row r="202" spans="1:19" x14ac:dyDescent="0.3">
      <c r="A202">
        <v>811</v>
      </c>
      <c r="B202" s="1">
        <v>40580</v>
      </c>
      <c r="C202">
        <v>1</v>
      </c>
      <c r="D202">
        <v>0</v>
      </c>
      <c r="E202">
        <v>2</v>
      </c>
      <c r="F202">
        <v>5</v>
      </c>
      <c r="G202" t="b">
        <v>0</v>
      </c>
      <c r="H202">
        <v>0</v>
      </c>
      <c r="I202">
        <v>1</v>
      </c>
      <c r="J202">
        <v>0.26</v>
      </c>
      <c r="K202" s="6">
        <v>0.2576</v>
      </c>
      <c r="L202">
        <v>0.6</v>
      </c>
      <c r="M202">
        <v>0.22389999999999999</v>
      </c>
      <c r="N202" s="4">
        <v>0</v>
      </c>
      <c r="O202" s="4">
        <v>1</v>
      </c>
      <c r="P202" s="4">
        <v>1</v>
      </c>
      <c r="Q202" s="9" t="str">
        <f>CHOOSE(FinalData[[#This Row],[Season]],"Spring","Summer","Fall","Winter")</f>
        <v>Spring</v>
      </c>
      <c r="R202" s="9" t="str">
        <f>CHOOSE(FinalData[[#This Row],[Weathersituation]],"Clear","Mist","Light Rain","Heavy Rain")</f>
        <v>Clear</v>
      </c>
      <c r="S202" s="9" t="str">
        <f>TEXT(FinalData[[#This Row],[Date]],"mmm")</f>
        <v>Feb</v>
      </c>
    </row>
    <row r="203" spans="1:19" x14ac:dyDescent="0.3">
      <c r="A203">
        <v>812</v>
      </c>
      <c r="B203" s="1">
        <v>40580</v>
      </c>
      <c r="C203">
        <v>1</v>
      </c>
      <c r="D203">
        <v>0</v>
      </c>
      <c r="E203">
        <v>2</v>
      </c>
      <c r="F203">
        <v>6</v>
      </c>
      <c r="G203" t="b">
        <v>0</v>
      </c>
      <c r="H203">
        <v>0</v>
      </c>
      <c r="I203">
        <v>1</v>
      </c>
      <c r="J203">
        <v>0.26</v>
      </c>
      <c r="K203" s="6">
        <v>0.2576</v>
      </c>
      <c r="L203">
        <v>0.6</v>
      </c>
      <c r="M203">
        <v>0.22389999999999999</v>
      </c>
      <c r="N203" s="4">
        <v>0</v>
      </c>
      <c r="O203" s="4">
        <v>1</v>
      </c>
      <c r="P203" s="4">
        <v>1</v>
      </c>
      <c r="Q203" s="9" t="str">
        <f>CHOOSE(FinalData[[#This Row],[Season]],"Spring","Summer","Fall","Winter")</f>
        <v>Spring</v>
      </c>
      <c r="R203" s="9" t="str">
        <f>CHOOSE(FinalData[[#This Row],[Weathersituation]],"Clear","Mist","Light Rain","Heavy Rain")</f>
        <v>Clear</v>
      </c>
      <c r="S203" s="9" t="str">
        <f>TEXT(FinalData[[#This Row],[Date]],"mmm")</f>
        <v>Feb</v>
      </c>
    </row>
    <row r="204" spans="1:19" x14ac:dyDescent="0.3">
      <c r="A204">
        <v>813</v>
      </c>
      <c r="B204" s="1">
        <v>40580</v>
      </c>
      <c r="C204">
        <v>1</v>
      </c>
      <c r="D204">
        <v>0</v>
      </c>
      <c r="E204">
        <v>2</v>
      </c>
      <c r="F204">
        <v>7</v>
      </c>
      <c r="G204" t="b">
        <v>0</v>
      </c>
      <c r="H204">
        <v>0</v>
      </c>
      <c r="I204">
        <v>1</v>
      </c>
      <c r="J204">
        <v>0.24</v>
      </c>
      <c r="K204" s="6">
        <v>0.2424</v>
      </c>
      <c r="L204">
        <v>0.65</v>
      </c>
      <c r="M204">
        <v>0.16420000000000001</v>
      </c>
      <c r="N204" s="4">
        <v>0</v>
      </c>
      <c r="O204" s="4">
        <v>8</v>
      </c>
      <c r="P204" s="4">
        <v>8</v>
      </c>
      <c r="Q204" s="9" t="str">
        <f>CHOOSE(FinalData[[#This Row],[Season]],"Spring","Summer","Fall","Winter")</f>
        <v>Spring</v>
      </c>
      <c r="R204" s="9" t="str">
        <f>CHOOSE(FinalData[[#This Row],[Weathersituation]],"Clear","Mist","Light Rain","Heavy Rain")</f>
        <v>Clear</v>
      </c>
      <c r="S204" s="9" t="str">
        <f>TEXT(FinalData[[#This Row],[Date]],"mmm")</f>
        <v>Feb</v>
      </c>
    </row>
    <row r="205" spans="1:19" x14ac:dyDescent="0.3">
      <c r="A205">
        <v>814</v>
      </c>
      <c r="B205" s="1">
        <v>40580</v>
      </c>
      <c r="C205">
        <v>1</v>
      </c>
      <c r="D205">
        <v>0</v>
      </c>
      <c r="E205">
        <v>2</v>
      </c>
      <c r="F205">
        <v>8</v>
      </c>
      <c r="G205" t="b">
        <v>0</v>
      </c>
      <c r="H205">
        <v>0</v>
      </c>
      <c r="I205">
        <v>1</v>
      </c>
      <c r="J205">
        <v>0.24</v>
      </c>
      <c r="K205" s="6">
        <v>0.2576</v>
      </c>
      <c r="L205">
        <v>0.65</v>
      </c>
      <c r="M205">
        <v>0.1045</v>
      </c>
      <c r="N205" s="4">
        <v>2</v>
      </c>
      <c r="O205" s="4">
        <v>21</v>
      </c>
      <c r="P205" s="4">
        <v>23</v>
      </c>
      <c r="Q205" s="9" t="str">
        <f>CHOOSE(FinalData[[#This Row],[Season]],"Spring","Summer","Fall","Winter")</f>
        <v>Spring</v>
      </c>
      <c r="R205" s="9" t="str">
        <f>CHOOSE(FinalData[[#This Row],[Weathersituation]],"Clear","Mist","Light Rain","Heavy Rain")</f>
        <v>Clear</v>
      </c>
      <c r="S205" s="9" t="str">
        <f>TEXT(FinalData[[#This Row],[Date]],"mmm")</f>
        <v>Feb</v>
      </c>
    </row>
    <row r="206" spans="1:19" x14ac:dyDescent="0.3">
      <c r="A206">
        <v>815</v>
      </c>
      <c r="B206" s="1">
        <v>40580</v>
      </c>
      <c r="C206">
        <v>1</v>
      </c>
      <c r="D206">
        <v>0</v>
      </c>
      <c r="E206">
        <v>2</v>
      </c>
      <c r="F206">
        <v>9</v>
      </c>
      <c r="G206" t="b">
        <v>0</v>
      </c>
      <c r="H206">
        <v>0</v>
      </c>
      <c r="I206">
        <v>1</v>
      </c>
      <c r="J206">
        <v>0.28000000000000003</v>
      </c>
      <c r="K206" s="6">
        <v>0.28789999999999999</v>
      </c>
      <c r="L206">
        <v>0.56000000000000005</v>
      </c>
      <c r="M206">
        <v>0.1045</v>
      </c>
      <c r="N206" s="4">
        <v>7</v>
      </c>
      <c r="O206" s="4">
        <v>38</v>
      </c>
      <c r="P206" s="4">
        <v>45</v>
      </c>
      <c r="Q206" s="9" t="str">
        <f>CHOOSE(FinalData[[#This Row],[Season]],"Spring","Summer","Fall","Winter")</f>
        <v>Spring</v>
      </c>
      <c r="R206" s="9" t="str">
        <f>CHOOSE(FinalData[[#This Row],[Weathersituation]],"Clear","Mist","Light Rain","Heavy Rain")</f>
        <v>Clear</v>
      </c>
      <c r="S206" s="9" t="str">
        <f>TEXT(FinalData[[#This Row],[Date]],"mmm")</f>
        <v>Feb</v>
      </c>
    </row>
    <row r="207" spans="1:19" x14ac:dyDescent="0.3">
      <c r="A207">
        <v>816</v>
      </c>
      <c r="B207" s="1">
        <v>40580</v>
      </c>
      <c r="C207">
        <v>1</v>
      </c>
      <c r="D207">
        <v>0</v>
      </c>
      <c r="E207">
        <v>2</v>
      </c>
      <c r="F207">
        <v>10</v>
      </c>
      <c r="G207" t="b">
        <v>0</v>
      </c>
      <c r="H207">
        <v>0</v>
      </c>
      <c r="I207">
        <v>1</v>
      </c>
      <c r="J207">
        <v>0.3</v>
      </c>
      <c r="K207" s="6">
        <v>0.28789999999999999</v>
      </c>
      <c r="L207">
        <v>0.52</v>
      </c>
      <c r="M207">
        <v>0.25369999999999998</v>
      </c>
      <c r="N207" s="4">
        <v>15</v>
      </c>
      <c r="O207" s="4">
        <v>74</v>
      </c>
      <c r="P207" s="4">
        <v>89</v>
      </c>
      <c r="Q207" s="9" t="str">
        <f>CHOOSE(FinalData[[#This Row],[Season]],"Spring","Summer","Fall","Winter")</f>
        <v>Spring</v>
      </c>
      <c r="R207" s="9" t="str">
        <f>CHOOSE(FinalData[[#This Row],[Weathersituation]],"Clear","Mist","Light Rain","Heavy Rain")</f>
        <v>Clear</v>
      </c>
      <c r="S207" s="9" t="str">
        <f>TEXT(FinalData[[#This Row],[Date]],"mmm")</f>
        <v>Feb</v>
      </c>
    </row>
    <row r="208" spans="1:19" x14ac:dyDescent="0.3">
      <c r="A208">
        <v>817</v>
      </c>
      <c r="B208" s="1">
        <v>40580</v>
      </c>
      <c r="C208">
        <v>1</v>
      </c>
      <c r="D208">
        <v>0</v>
      </c>
      <c r="E208">
        <v>2</v>
      </c>
      <c r="F208">
        <v>11</v>
      </c>
      <c r="G208" t="b">
        <v>0</v>
      </c>
      <c r="H208">
        <v>0</v>
      </c>
      <c r="I208">
        <v>1</v>
      </c>
      <c r="J208">
        <v>0.32</v>
      </c>
      <c r="K208" s="6">
        <v>0.30299999999999999</v>
      </c>
      <c r="L208">
        <v>0.49</v>
      </c>
      <c r="M208">
        <v>0.25369999999999998</v>
      </c>
      <c r="N208" s="4">
        <v>28</v>
      </c>
      <c r="O208" s="4">
        <v>89</v>
      </c>
      <c r="P208" s="4">
        <v>117</v>
      </c>
      <c r="Q208" s="9" t="str">
        <f>CHOOSE(FinalData[[#This Row],[Season]],"Spring","Summer","Fall","Winter")</f>
        <v>Spring</v>
      </c>
      <c r="R208" s="9" t="str">
        <f>CHOOSE(FinalData[[#This Row],[Weathersituation]],"Clear","Mist","Light Rain","Heavy Rain")</f>
        <v>Clear</v>
      </c>
      <c r="S208" s="9" t="str">
        <f>TEXT(FinalData[[#This Row],[Date]],"mmm")</f>
        <v>Feb</v>
      </c>
    </row>
    <row r="209" spans="1:19" x14ac:dyDescent="0.3">
      <c r="A209">
        <v>818</v>
      </c>
      <c r="B209" s="1">
        <v>40580</v>
      </c>
      <c r="C209">
        <v>1</v>
      </c>
      <c r="D209">
        <v>0</v>
      </c>
      <c r="E209">
        <v>2</v>
      </c>
      <c r="F209">
        <v>12</v>
      </c>
      <c r="G209" t="b">
        <v>0</v>
      </c>
      <c r="H209">
        <v>0</v>
      </c>
      <c r="I209">
        <v>1</v>
      </c>
      <c r="J209">
        <v>0.34</v>
      </c>
      <c r="K209" s="6">
        <v>0.33329999999999999</v>
      </c>
      <c r="L209">
        <v>0.46</v>
      </c>
      <c r="M209">
        <v>0</v>
      </c>
      <c r="N209" s="4">
        <v>48</v>
      </c>
      <c r="O209" s="4">
        <v>126</v>
      </c>
      <c r="P209" s="4">
        <v>174</v>
      </c>
      <c r="Q209" s="9" t="str">
        <f>CHOOSE(FinalData[[#This Row],[Season]],"Spring","Summer","Fall","Winter")</f>
        <v>Spring</v>
      </c>
      <c r="R209" s="9" t="str">
        <f>CHOOSE(FinalData[[#This Row],[Weathersituation]],"Clear","Mist","Light Rain","Heavy Rain")</f>
        <v>Clear</v>
      </c>
      <c r="S209" s="9" t="str">
        <f>TEXT(FinalData[[#This Row],[Date]],"mmm")</f>
        <v>Feb</v>
      </c>
    </row>
    <row r="210" spans="1:19" x14ac:dyDescent="0.3">
      <c r="A210">
        <v>819</v>
      </c>
      <c r="B210" s="1">
        <v>40580</v>
      </c>
      <c r="C210">
        <v>1</v>
      </c>
      <c r="D210">
        <v>0</v>
      </c>
      <c r="E210">
        <v>2</v>
      </c>
      <c r="F210">
        <v>13</v>
      </c>
      <c r="G210" t="b">
        <v>0</v>
      </c>
      <c r="H210">
        <v>0</v>
      </c>
      <c r="I210">
        <v>1</v>
      </c>
      <c r="J210">
        <v>0.34</v>
      </c>
      <c r="K210" s="6">
        <v>0.36359999999999998</v>
      </c>
      <c r="L210">
        <v>0.46</v>
      </c>
      <c r="M210">
        <v>0</v>
      </c>
      <c r="N210" s="4">
        <v>47</v>
      </c>
      <c r="O210" s="4">
        <v>135</v>
      </c>
      <c r="P210" s="4">
        <v>182</v>
      </c>
      <c r="Q210" s="9" t="str">
        <f>CHOOSE(FinalData[[#This Row],[Season]],"Spring","Summer","Fall","Winter")</f>
        <v>Spring</v>
      </c>
      <c r="R210" s="9" t="str">
        <f>CHOOSE(FinalData[[#This Row],[Weathersituation]],"Clear","Mist","Light Rain","Heavy Rain")</f>
        <v>Clear</v>
      </c>
      <c r="S210" s="9" t="str">
        <f>TEXT(FinalData[[#This Row],[Date]],"mmm")</f>
        <v>Feb</v>
      </c>
    </row>
    <row r="211" spans="1:19" x14ac:dyDescent="0.3">
      <c r="A211">
        <v>820</v>
      </c>
      <c r="B211" s="1">
        <v>40580</v>
      </c>
      <c r="C211">
        <v>1</v>
      </c>
      <c r="D211">
        <v>0</v>
      </c>
      <c r="E211">
        <v>2</v>
      </c>
      <c r="F211">
        <v>14</v>
      </c>
      <c r="G211" t="b">
        <v>0</v>
      </c>
      <c r="H211">
        <v>0</v>
      </c>
      <c r="I211">
        <v>1</v>
      </c>
      <c r="J211">
        <v>0.34</v>
      </c>
      <c r="K211" s="6">
        <v>0.34849999999999998</v>
      </c>
      <c r="L211">
        <v>0.46</v>
      </c>
      <c r="M211">
        <v>8.9599999999999999E-2</v>
      </c>
      <c r="N211" s="4">
        <v>47</v>
      </c>
      <c r="O211" s="4">
        <v>114</v>
      </c>
      <c r="P211" s="4">
        <v>161</v>
      </c>
      <c r="Q211" s="9" t="str">
        <f>CHOOSE(FinalData[[#This Row],[Season]],"Spring","Summer","Fall","Winter")</f>
        <v>Spring</v>
      </c>
      <c r="R211" s="9" t="str">
        <f>CHOOSE(FinalData[[#This Row],[Weathersituation]],"Clear","Mist","Light Rain","Heavy Rain")</f>
        <v>Clear</v>
      </c>
      <c r="S211" s="9" t="str">
        <f>TEXT(FinalData[[#This Row],[Date]],"mmm")</f>
        <v>Feb</v>
      </c>
    </row>
    <row r="212" spans="1:19" x14ac:dyDescent="0.3">
      <c r="A212">
        <v>821</v>
      </c>
      <c r="B212" s="1">
        <v>40580</v>
      </c>
      <c r="C212">
        <v>1</v>
      </c>
      <c r="D212">
        <v>0</v>
      </c>
      <c r="E212">
        <v>2</v>
      </c>
      <c r="F212">
        <v>15</v>
      </c>
      <c r="G212" t="b">
        <v>0</v>
      </c>
      <c r="H212">
        <v>0</v>
      </c>
      <c r="I212">
        <v>1</v>
      </c>
      <c r="J212">
        <v>0.34</v>
      </c>
      <c r="K212" s="6">
        <v>0.34849999999999998</v>
      </c>
      <c r="L212">
        <v>0.46</v>
      </c>
      <c r="M212">
        <v>8.9599999999999999E-2</v>
      </c>
      <c r="N212" s="4">
        <v>52</v>
      </c>
      <c r="O212" s="4">
        <v>130</v>
      </c>
      <c r="P212" s="4">
        <v>182</v>
      </c>
      <c r="Q212" s="9" t="str">
        <f>CHOOSE(FinalData[[#This Row],[Season]],"Spring","Summer","Fall","Winter")</f>
        <v>Spring</v>
      </c>
      <c r="R212" s="9" t="str">
        <f>CHOOSE(FinalData[[#This Row],[Weathersituation]],"Clear","Mist","Light Rain","Heavy Rain")</f>
        <v>Clear</v>
      </c>
      <c r="S212" s="9" t="str">
        <f>TEXT(FinalData[[#This Row],[Date]],"mmm")</f>
        <v>Feb</v>
      </c>
    </row>
    <row r="213" spans="1:19" x14ac:dyDescent="0.3">
      <c r="A213">
        <v>822</v>
      </c>
      <c r="B213" s="1">
        <v>40580</v>
      </c>
      <c r="C213">
        <v>1</v>
      </c>
      <c r="D213">
        <v>0</v>
      </c>
      <c r="E213">
        <v>2</v>
      </c>
      <c r="F213">
        <v>16</v>
      </c>
      <c r="G213" t="b">
        <v>0</v>
      </c>
      <c r="H213">
        <v>0</v>
      </c>
      <c r="I213">
        <v>1</v>
      </c>
      <c r="J213">
        <v>0.34</v>
      </c>
      <c r="K213" s="6">
        <v>0.34849999999999998</v>
      </c>
      <c r="L213">
        <v>0.49</v>
      </c>
      <c r="M213">
        <v>0.1045</v>
      </c>
      <c r="N213" s="4">
        <v>42</v>
      </c>
      <c r="O213" s="4">
        <v>115</v>
      </c>
      <c r="P213" s="4">
        <v>157</v>
      </c>
      <c r="Q213" s="9" t="str">
        <f>CHOOSE(FinalData[[#This Row],[Season]],"Spring","Summer","Fall","Winter")</f>
        <v>Spring</v>
      </c>
      <c r="R213" s="9" t="str">
        <f>CHOOSE(FinalData[[#This Row],[Weathersituation]],"Clear","Mist","Light Rain","Heavy Rain")</f>
        <v>Clear</v>
      </c>
      <c r="S213" s="9" t="str">
        <f>TEXT(FinalData[[#This Row],[Date]],"mmm")</f>
        <v>Feb</v>
      </c>
    </row>
    <row r="214" spans="1:19" x14ac:dyDescent="0.3">
      <c r="A214">
        <v>823</v>
      </c>
      <c r="B214" s="1">
        <v>40580</v>
      </c>
      <c r="C214">
        <v>1</v>
      </c>
      <c r="D214">
        <v>0</v>
      </c>
      <c r="E214">
        <v>2</v>
      </c>
      <c r="F214">
        <v>17</v>
      </c>
      <c r="G214" t="b">
        <v>0</v>
      </c>
      <c r="H214">
        <v>0</v>
      </c>
      <c r="I214">
        <v>1</v>
      </c>
      <c r="J214">
        <v>0.34</v>
      </c>
      <c r="K214" s="6">
        <v>0.36359999999999998</v>
      </c>
      <c r="L214">
        <v>0.46</v>
      </c>
      <c r="M214">
        <v>0</v>
      </c>
      <c r="N214" s="4">
        <v>24</v>
      </c>
      <c r="O214" s="4">
        <v>97</v>
      </c>
      <c r="P214" s="4">
        <v>121</v>
      </c>
      <c r="Q214" s="9" t="str">
        <f>CHOOSE(FinalData[[#This Row],[Season]],"Spring","Summer","Fall","Winter")</f>
        <v>Spring</v>
      </c>
      <c r="R214" s="9" t="str">
        <f>CHOOSE(FinalData[[#This Row],[Weathersituation]],"Clear","Mist","Light Rain","Heavy Rain")</f>
        <v>Clear</v>
      </c>
      <c r="S214" s="9" t="str">
        <f>TEXT(FinalData[[#This Row],[Date]],"mmm")</f>
        <v>Feb</v>
      </c>
    </row>
    <row r="215" spans="1:19" x14ac:dyDescent="0.3">
      <c r="A215">
        <v>824</v>
      </c>
      <c r="B215" s="1">
        <v>40580</v>
      </c>
      <c r="C215">
        <v>1</v>
      </c>
      <c r="D215">
        <v>0</v>
      </c>
      <c r="E215">
        <v>2</v>
      </c>
      <c r="F215">
        <v>18</v>
      </c>
      <c r="G215" t="b">
        <v>0</v>
      </c>
      <c r="H215">
        <v>0</v>
      </c>
      <c r="I215">
        <v>1</v>
      </c>
      <c r="J215">
        <v>0.3</v>
      </c>
      <c r="K215" s="6">
        <v>0.30299999999999999</v>
      </c>
      <c r="L215">
        <v>0.56000000000000005</v>
      </c>
      <c r="M215">
        <v>0.16420000000000001</v>
      </c>
      <c r="N215" s="4">
        <v>13</v>
      </c>
      <c r="O215" s="4">
        <v>65</v>
      </c>
      <c r="P215" s="4">
        <v>78</v>
      </c>
      <c r="Q215" s="9" t="str">
        <f>CHOOSE(FinalData[[#This Row],[Season]],"Spring","Summer","Fall","Winter")</f>
        <v>Spring</v>
      </c>
      <c r="R215" s="9" t="str">
        <f>CHOOSE(FinalData[[#This Row],[Weathersituation]],"Clear","Mist","Light Rain","Heavy Rain")</f>
        <v>Clear</v>
      </c>
      <c r="S215" s="9" t="str">
        <f>TEXT(FinalData[[#This Row],[Date]],"mmm")</f>
        <v>Feb</v>
      </c>
    </row>
    <row r="216" spans="1:19" x14ac:dyDescent="0.3">
      <c r="A216">
        <v>825</v>
      </c>
      <c r="B216" s="1">
        <v>40580</v>
      </c>
      <c r="C216">
        <v>1</v>
      </c>
      <c r="D216">
        <v>0</v>
      </c>
      <c r="E216">
        <v>2</v>
      </c>
      <c r="F216">
        <v>19</v>
      </c>
      <c r="G216" t="b">
        <v>0</v>
      </c>
      <c r="H216">
        <v>0</v>
      </c>
      <c r="I216">
        <v>1</v>
      </c>
      <c r="J216">
        <v>0.28000000000000003</v>
      </c>
      <c r="K216" s="6">
        <v>0.28789999999999999</v>
      </c>
      <c r="L216">
        <v>0.61</v>
      </c>
      <c r="M216">
        <v>0.1343</v>
      </c>
      <c r="N216" s="4">
        <v>1</v>
      </c>
      <c r="O216" s="4">
        <v>20</v>
      </c>
      <c r="P216" s="4">
        <v>21</v>
      </c>
      <c r="Q216" s="9" t="str">
        <f>CHOOSE(FinalData[[#This Row],[Season]],"Spring","Summer","Fall","Winter")</f>
        <v>Spring</v>
      </c>
      <c r="R216" s="9" t="str">
        <f>CHOOSE(FinalData[[#This Row],[Weathersituation]],"Clear","Mist","Light Rain","Heavy Rain")</f>
        <v>Clear</v>
      </c>
      <c r="S216" s="9" t="str">
        <f>TEXT(FinalData[[#This Row],[Date]],"mmm")</f>
        <v>Feb</v>
      </c>
    </row>
    <row r="217" spans="1:19" x14ac:dyDescent="0.3">
      <c r="A217">
        <v>826</v>
      </c>
      <c r="B217" s="1">
        <v>40580</v>
      </c>
      <c r="C217">
        <v>1</v>
      </c>
      <c r="D217">
        <v>0</v>
      </c>
      <c r="E217">
        <v>2</v>
      </c>
      <c r="F217">
        <v>20</v>
      </c>
      <c r="G217" t="b">
        <v>0</v>
      </c>
      <c r="H217">
        <v>0</v>
      </c>
      <c r="I217">
        <v>1</v>
      </c>
      <c r="J217">
        <v>0.28000000000000003</v>
      </c>
      <c r="K217" s="6">
        <v>0.28789999999999999</v>
      </c>
      <c r="L217">
        <v>0.61</v>
      </c>
      <c r="M217">
        <v>0.1045</v>
      </c>
      <c r="N217" s="4">
        <v>5</v>
      </c>
      <c r="O217" s="4">
        <v>21</v>
      </c>
      <c r="P217" s="4">
        <v>26</v>
      </c>
      <c r="Q217" s="9" t="str">
        <f>CHOOSE(FinalData[[#This Row],[Season]],"Spring","Summer","Fall","Winter")</f>
        <v>Spring</v>
      </c>
      <c r="R217" s="9" t="str">
        <f>CHOOSE(FinalData[[#This Row],[Weathersituation]],"Clear","Mist","Light Rain","Heavy Rain")</f>
        <v>Clear</v>
      </c>
      <c r="S217" s="9" t="str">
        <f>TEXT(FinalData[[#This Row],[Date]],"mmm")</f>
        <v>Feb</v>
      </c>
    </row>
    <row r="218" spans="1:19" x14ac:dyDescent="0.3">
      <c r="A218">
        <v>827</v>
      </c>
      <c r="B218" s="1">
        <v>40580</v>
      </c>
      <c r="C218">
        <v>1</v>
      </c>
      <c r="D218">
        <v>0</v>
      </c>
      <c r="E218">
        <v>2</v>
      </c>
      <c r="F218">
        <v>21</v>
      </c>
      <c r="G218" t="b">
        <v>0</v>
      </c>
      <c r="H218">
        <v>0</v>
      </c>
      <c r="I218">
        <v>1</v>
      </c>
      <c r="J218">
        <v>0.26</v>
      </c>
      <c r="K218" s="6">
        <v>0.30299999999999999</v>
      </c>
      <c r="L218">
        <v>0.6</v>
      </c>
      <c r="M218">
        <v>0</v>
      </c>
      <c r="N218" s="4">
        <v>5</v>
      </c>
      <c r="O218" s="4">
        <v>22</v>
      </c>
      <c r="P218" s="4">
        <v>27</v>
      </c>
      <c r="Q218" s="9" t="str">
        <f>CHOOSE(FinalData[[#This Row],[Season]],"Spring","Summer","Fall","Winter")</f>
        <v>Spring</v>
      </c>
      <c r="R218" s="9" t="str">
        <f>CHOOSE(FinalData[[#This Row],[Weathersituation]],"Clear","Mist","Light Rain","Heavy Rain")</f>
        <v>Clear</v>
      </c>
      <c r="S218" s="9" t="str">
        <f>TEXT(FinalData[[#This Row],[Date]],"mmm")</f>
        <v>Feb</v>
      </c>
    </row>
    <row r="219" spans="1:19" x14ac:dyDescent="0.3">
      <c r="A219">
        <v>828</v>
      </c>
      <c r="B219" s="1">
        <v>40580</v>
      </c>
      <c r="C219">
        <v>1</v>
      </c>
      <c r="D219">
        <v>0</v>
      </c>
      <c r="E219">
        <v>2</v>
      </c>
      <c r="F219">
        <v>22</v>
      </c>
      <c r="G219" t="b">
        <v>0</v>
      </c>
      <c r="H219">
        <v>0</v>
      </c>
      <c r="I219">
        <v>1</v>
      </c>
      <c r="J219">
        <v>0.26</v>
      </c>
      <c r="K219" s="6">
        <v>0.30299999999999999</v>
      </c>
      <c r="L219">
        <v>0.6</v>
      </c>
      <c r="M219">
        <v>0</v>
      </c>
      <c r="N219" s="4">
        <v>5</v>
      </c>
      <c r="O219" s="4">
        <v>57</v>
      </c>
      <c r="P219" s="4">
        <v>62</v>
      </c>
      <c r="Q219" s="9" t="str">
        <f>CHOOSE(FinalData[[#This Row],[Season]],"Spring","Summer","Fall","Winter")</f>
        <v>Spring</v>
      </c>
      <c r="R219" s="9" t="str">
        <f>CHOOSE(FinalData[[#This Row],[Weathersituation]],"Clear","Mist","Light Rain","Heavy Rain")</f>
        <v>Clear</v>
      </c>
      <c r="S219" s="9" t="str">
        <f>TEXT(FinalData[[#This Row],[Date]],"mmm")</f>
        <v>Feb</v>
      </c>
    </row>
    <row r="220" spans="1:19" x14ac:dyDescent="0.3">
      <c r="A220">
        <v>829</v>
      </c>
      <c r="B220" s="1">
        <v>40580</v>
      </c>
      <c r="C220">
        <v>1</v>
      </c>
      <c r="D220">
        <v>0</v>
      </c>
      <c r="E220">
        <v>2</v>
      </c>
      <c r="F220">
        <v>23</v>
      </c>
      <c r="G220" t="b">
        <v>0</v>
      </c>
      <c r="H220">
        <v>0</v>
      </c>
      <c r="I220">
        <v>1</v>
      </c>
      <c r="J220">
        <v>0.24</v>
      </c>
      <c r="K220" s="6">
        <v>0.28789999999999999</v>
      </c>
      <c r="L220">
        <v>0.65</v>
      </c>
      <c r="M220">
        <v>0</v>
      </c>
      <c r="N220" s="4">
        <v>4</v>
      </c>
      <c r="O220" s="4">
        <v>26</v>
      </c>
      <c r="P220" s="4">
        <v>30</v>
      </c>
      <c r="Q220" s="9" t="str">
        <f>CHOOSE(FinalData[[#This Row],[Season]],"Spring","Summer","Fall","Winter")</f>
        <v>Spring</v>
      </c>
      <c r="R220" s="9" t="str">
        <f>CHOOSE(FinalData[[#This Row],[Weathersituation]],"Clear","Mist","Light Rain","Heavy Rain")</f>
        <v>Clear</v>
      </c>
      <c r="S220" s="9" t="str">
        <f>TEXT(FinalData[[#This Row],[Date]],"mmm")</f>
        <v>Feb</v>
      </c>
    </row>
    <row r="221" spans="1:19" x14ac:dyDescent="0.3">
      <c r="A221">
        <v>830</v>
      </c>
      <c r="B221" s="1">
        <v>40581</v>
      </c>
      <c r="C221">
        <v>1</v>
      </c>
      <c r="D221">
        <v>0</v>
      </c>
      <c r="E221">
        <v>2</v>
      </c>
      <c r="F221">
        <v>0</v>
      </c>
      <c r="G221" t="b">
        <v>0</v>
      </c>
      <c r="H221">
        <v>1</v>
      </c>
      <c r="I221">
        <v>1</v>
      </c>
      <c r="J221">
        <v>0.24</v>
      </c>
      <c r="K221" s="6">
        <v>0.28789999999999999</v>
      </c>
      <c r="L221">
        <v>0.65</v>
      </c>
      <c r="M221">
        <v>0</v>
      </c>
      <c r="N221" s="4">
        <v>1</v>
      </c>
      <c r="O221" s="4">
        <v>14</v>
      </c>
      <c r="P221" s="4">
        <v>15</v>
      </c>
      <c r="Q221" s="9" t="str">
        <f>CHOOSE(FinalData[[#This Row],[Season]],"Spring","Summer","Fall","Winter")</f>
        <v>Spring</v>
      </c>
      <c r="R221" s="9" t="str">
        <f>CHOOSE(FinalData[[#This Row],[Weathersituation]],"Clear","Mist","Light Rain","Heavy Rain")</f>
        <v>Clear</v>
      </c>
      <c r="S221" s="9" t="str">
        <f>TEXT(FinalData[[#This Row],[Date]],"mmm")</f>
        <v>Feb</v>
      </c>
    </row>
    <row r="222" spans="1:19" x14ac:dyDescent="0.3">
      <c r="A222">
        <v>831</v>
      </c>
      <c r="B222" s="1">
        <v>40581</v>
      </c>
      <c r="C222">
        <v>1</v>
      </c>
      <c r="D222">
        <v>0</v>
      </c>
      <c r="E222">
        <v>2</v>
      </c>
      <c r="F222">
        <v>1</v>
      </c>
      <c r="G222" t="b">
        <v>0</v>
      </c>
      <c r="H222">
        <v>1</v>
      </c>
      <c r="I222">
        <v>1</v>
      </c>
      <c r="J222">
        <v>0.22</v>
      </c>
      <c r="K222" s="6">
        <v>0.2727</v>
      </c>
      <c r="L222">
        <v>0.75</v>
      </c>
      <c r="M222">
        <v>0</v>
      </c>
      <c r="N222" s="4">
        <v>1</v>
      </c>
      <c r="O222" s="4">
        <v>4</v>
      </c>
      <c r="P222" s="4">
        <v>5</v>
      </c>
      <c r="Q222" s="9" t="str">
        <f>CHOOSE(FinalData[[#This Row],[Season]],"Spring","Summer","Fall","Winter")</f>
        <v>Spring</v>
      </c>
      <c r="R222" s="9" t="str">
        <f>CHOOSE(FinalData[[#This Row],[Weathersituation]],"Clear","Mist","Light Rain","Heavy Rain")</f>
        <v>Clear</v>
      </c>
      <c r="S222" s="9" t="str">
        <f>TEXT(FinalData[[#This Row],[Date]],"mmm")</f>
        <v>Feb</v>
      </c>
    </row>
    <row r="223" spans="1:19" x14ac:dyDescent="0.3">
      <c r="A223">
        <v>832</v>
      </c>
      <c r="B223" s="1">
        <v>40581</v>
      </c>
      <c r="C223">
        <v>1</v>
      </c>
      <c r="D223">
        <v>0</v>
      </c>
      <c r="E223">
        <v>2</v>
      </c>
      <c r="F223">
        <v>2</v>
      </c>
      <c r="G223" t="b">
        <v>0</v>
      </c>
      <c r="H223">
        <v>1</v>
      </c>
      <c r="I223">
        <v>1</v>
      </c>
      <c r="J223">
        <v>0.2</v>
      </c>
      <c r="K223" s="6">
        <v>0.2576</v>
      </c>
      <c r="L223">
        <v>0.8</v>
      </c>
      <c r="M223">
        <v>0</v>
      </c>
      <c r="N223" s="4">
        <v>0</v>
      </c>
      <c r="O223" s="4">
        <v>3</v>
      </c>
      <c r="P223" s="4">
        <v>3</v>
      </c>
      <c r="Q223" s="9" t="str">
        <f>CHOOSE(FinalData[[#This Row],[Season]],"Spring","Summer","Fall","Winter")</f>
        <v>Spring</v>
      </c>
      <c r="R223" s="9" t="str">
        <f>CHOOSE(FinalData[[#This Row],[Weathersituation]],"Clear","Mist","Light Rain","Heavy Rain")</f>
        <v>Clear</v>
      </c>
      <c r="S223" s="9" t="str">
        <f>TEXT(FinalData[[#This Row],[Date]],"mmm")</f>
        <v>Feb</v>
      </c>
    </row>
    <row r="224" spans="1:19" x14ac:dyDescent="0.3">
      <c r="A224">
        <v>833</v>
      </c>
      <c r="B224" s="1">
        <v>40581</v>
      </c>
      <c r="C224">
        <v>1</v>
      </c>
      <c r="D224">
        <v>0</v>
      </c>
      <c r="E224">
        <v>2</v>
      </c>
      <c r="F224">
        <v>3</v>
      </c>
      <c r="G224" t="b">
        <v>0</v>
      </c>
      <c r="H224">
        <v>1</v>
      </c>
      <c r="I224">
        <v>1</v>
      </c>
      <c r="J224">
        <v>0.2</v>
      </c>
      <c r="K224" s="6">
        <v>0.2576</v>
      </c>
      <c r="L224">
        <v>0.86</v>
      </c>
      <c r="M224">
        <v>0</v>
      </c>
      <c r="N224" s="4">
        <v>0</v>
      </c>
      <c r="O224" s="4">
        <v>1</v>
      </c>
      <c r="P224" s="4">
        <v>1</v>
      </c>
      <c r="Q224" s="9" t="str">
        <f>CHOOSE(FinalData[[#This Row],[Season]],"Spring","Summer","Fall","Winter")</f>
        <v>Spring</v>
      </c>
      <c r="R224" s="9" t="str">
        <f>CHOOSE(FinalData[[#This Row],[Weathersituation]],"Clear","Mist","Light Rain","Heavy Rain")</f>
        <v>Clear</v>
      </c>
      <c r="S224" s="9" t="str">
        <f>TEXT(FinalData[[#This Row],[Date]],"mmm")</f>
        <v>Feb</v>
      </c>
    </row>
    <row r="225" spans="1:19" x14ac:dyDescent="0.3">
      <c r="A225">
        <v>834</v>
      </c>
      <c r="B225" s="1">
        <v>40581</v>
      </c>
      <c r="C225">
        <v>1</v>
      </c>
      <c r="D225">
        <v>0</v>
      </c>
      <c r="E225">
        <v>2</v>
      </c>
      <c r="F225">
        <v>4</v>
      </c>
      <c r="G225" t="b">
        <v>0</v>
      </c>
      <c r="H225">
        <v>1</v>
      </c>
      <c r="I225">
        <v>1</v>
      </c>
      <c r="J225">
        <v>0.2</v>
      </c>
      <c r="K225" s="6">
        <v>0.2576</v>
      </c>
      <c r="L225">
        <v>0.86</v>
      </c>
      <c r="M225">
        <v>0</v>
      </c>
      <c r="N225" s="4">
        <v>1</v>
      </c>
      <c r="O225" s="4">
        <v>1</v>
      </c>
      <c r="P225" s="4">
        <v>2</v>
      </c>
      <c r="Q225" s="9" t="str">
        <f>CHOOSE(FinalData[[#This Row],[Season]],"Spring","Summer","Fall","Winter")</f>
        <v>Spring</v>
      </c>
      <c r="R225" s="9" t="str">
        <f>CHOOSE(FinalData[[#This Row],[Weathersituation]],"Clear","Mist","Light Rain","Heavy Rain")</f>
        <v>Clear</v>
      </c>
      <c r="S225" s="9" t="str">
        <f>TEXT(FinalData[[#This Row],[Date]],"mmm")</f>
        <v>Feb</v>
      </c>
    </row>
    <row r="226" spans="1:19" x14ac:dyDescent="0.3">
      <c r="A226">
        <v>835</v>
      </c>
      <c r="B226" s="1">
        <v>40581</v>
      </c>
      <c r="C226">
        <v>1</v>
      </c>
      <c r="D226">
        <v>0</v>
      </c>
      <c r="E226">
        <v>2</v>
      </c>
      <c r="F226">
        <v>5</v>
      </c>
      <c r="G226" t="b">
        <v>0</v>
      </c>
      <c r="H226">
        <v>1</v>
      </c>
      <c r="I226">
        <v>1</v>
      </c>
      <c r="J226">
        <v>0.2</v>
      </c>
      <c r="K226" s="6">
        <v>0.2576</v>
      </c>
      <c r="L226">
        <v>0.86</v>
      </c>
      <c r="M226">
        <v>0</v>
      </c>
      <c r="N226" s="4">
        <v>1</v>
      </c>
      <c r="O226" s="4">
        <v>9</v>
      </c>
      <c r="P226" s="4">
        <v>10</v>
      </c>
      <c r="Q226" s="9" t="str">
        <f>CHOOSE(FinalData[[#This Row],[Season]],"Spring","Summer","Fall","Winter")</f>
        <v>Spring</v>
      </c>
      <c r="R226" s="9" t="str">
        <f>CHOOSE(FinalData[[#This Row],[Weathersituation]],"Clear","Mist","Light Rain","Heavy Rain")</f>
        <v>Clear</v>
      </c>
      <c r="S226" s="9" t="str">
        <f>TEXT(FinalData[[#This Row],[Date]],"mmm")</f>
        <v>Feb</v>
      </c>
    </row>
    <row r="227" spans="1:19" x14ac:dyDescent="0.3">
      <c r="A227">
        <v>836</v>
      </c>
      <c r="B227" s="1">
        <v>40581</v>
      </c>
      <c r="C227">
        <v>1</v>
      </c>
      <c r="D227">
        <v>0</v>
      </c>
      <c r="E227">
        <v>2</v>
      </c>
      <c r="F227">
        <v>6</v>
      </c>
      <c r="G227" t="b">
        <v>0</v>
      </c>
      <c r="H227">
        <v>1</v>
      </c>
      <c r="I227">
        <v>1</v>
      </c>
      <c r="J227">
        <v>0.18</v>
      </c>
      <c r="K227" s="6">
        <v>0.2424</v>
      </c>
      <c r="L227">
        <v>0.93</v>
      </c>
      <c r="M227">
        <v>0</v>
      </c>
      <c r="N227" s="4">
        <v>1</v>
      </c>
      <c r="O227" s="4">
        <v>29</v>
      </c>
      <c r="P227" s="4">
        <v>30</v>
      </c>
      <c r="Q227" s="9" t="str">
        <f>CHOOSE(FinalData[[#This Row],[Season]],"Spring","Summer","Fall","Winter")</f>
        <v>Spring</v>
      </c>
      <c r="R227" s="9" t="str">
        <f>CHOOSE(FinalData[[#This Row],[Weathersituation]],"Clear","Mist","Light Rain","Heavy Rain")</f>
        <v>Clear</v>
      </c>
      <c r="S227" s="9" t="str">
        <f>TEXT(FinalData[[#This Row],[Date]],"mmm")</f>
        <v>Feb</v>
      </c>
    </row>
    <row r="228" spans="1:19" x14ac:dyDescent="0.3">
      <c r="A228">
        <v>837</v>
      </c>
      <c r="B228" s="1">
        <v>40581</v>
      </c>
      <c r="C228">
        <v>1</v>
      </c>
      <c r="D228">
        <v>0</v>
      </c>
      <c r="E228">
        <v>2</v>
      </c>
      <c r="F228">
        <v>7</v>
      </c>
      <c r="G228" t="b">
        <v>0</v>
      </c>
      <c r="H228">
        <v>1</v>
      </c>
      <c r="I228">
        <v>1</v>
      </c>
      <c r="J228">
        <v>0.18</v>
      </c>
      <c r="K228" s="6">
        <v>0.2424</v>
      </c>
      <c r="L228">
        <v>0.86</v>
      </c>
      <c r="M228">
        <v>0</v>
      </c>
      <c r="N228" s="4">
        <v>6</v>
      </c>
      <c r="O228" s="4">
        <v>89</v>
      </c>
      <c r="P228" s="4">
        <v>95</v>
      </c>
      <c r="Q228" s="9" t="str">
        <f>CHOOSE(FinalData[[#This Row],[Season]],"Spring","Summer","Fall","Winter")</f>
        <v>Spring</v>
      </c>
      <c r="R228" s="9" t="str">
        <f>CHOOSE(FinalData[[#This Row],[Weathersituation]],"Clear","Mist","Light Rain","Heavy Rain")</f>
        <v>Clear</v>
      </c>
      <c r="S228" s="9" t="str">
        <f>TEXT(FinalData[[#This Row],[Date]],"mmm")</f>
        <v>Feb</v>
      </c>
    </row>
    <row r="229" spans="1:19" x14ac:dyDescent="0.3">
      <c r="A229">
        <v>838</v>
      </c>
      <c r="B229" s="1">
        <v>40581</v>
      </c>
      <c r="C229">
        <v>1</v>
      </c>
      <c r="D229">
        <v>0</v>
      </c>
      <c r="E229">
        <v>2</v>
      </c>
      <c r="F229">
        <v>8</v>
      </c>
      <c r="G229" t="b">
        <v>0</v>
      </c>
      <c r="H229">
        <v>1</v>
      </c>
      <c r="I229">
        <v>2</v>
      </c>
      <c r="J229">
        <v>0.16</v>
      </c>
      <c r="K229" s="6">
        <v>0.2273</v>
      </c>
      <c r="L229">
        <v>1</v>
      </c>
      <c r="M229">
        <v>0</v>
      </c>
      <c r="N229" s="4">
        <v>7</v>
      </c>
      <c r="O229" s="4">
        <v>223</v>
      </c>
      <c r="P229" s="4">
        <v>230</v>
      </c>
      <c r="Q229" s="9" t="str">
        <f>CHOOSE(FinalData[[#This Row],[Season]],"Spring","Summer","Fall","Winter")</f>
        <v>Spring</v>
      </c>
      <c r="R229" s="9" t="str">
        <f>CHOOSE(FinalData[[#This Row],[Weathersituation]],"Clear","Mist","Light Rain","Heavy Rain")</f>
        <v>Mist</v>
      </c>
      <c r="S229" s="9" t="str">
        <f>TEXT(FinalData[[#This Row],[Date]],"mmm")</f>
        <v>Feb</v>
      </c>
    </row>
    <row r="230" spans="1:19" x14ac:dyDescent="0.3">
      <c r="A230">
        <v>839</v>
      </c>
      <c r="B230" s="1">
        <v>40581</v>
      </c>
      <c r="C230">
        <v>1</v>
      </c>
      <c r="D230">
        <v>0</v>
      </c>
      <c r="E230">
        <v>2</v>
      </c>
      <c r="F230">
        <v>9</v>
      </c>
      <c r="G230" t="b">
        <v>0</v>
      </c>
      <c r="H230">
        <v>1</v>
      </c>
      <c r="I230">
        <v>1</v>
      </c>
      <c r="J230">
        <v>0.22</v>
      </c>
      <c r="K230" s="6">
        <v>0.2727</v>
      </c>
      <c r="L230">
        <v>0.8</v>
      </c>
      <c r="M230">
        <v>0</v>
      </c>
      <c r="N230" s="4">
        <v>3</v>
      </c>
      <c r="O230" s="4">
        <v>115</v>
      </c>
      <c r="P230" s="4">
        <v>118</v>
      </c>
      <c r="Q230" s="9" t="str">
        <f>CHOOSE(FinalData[[#This Row],[Season]],"Spring","Summer","Fall","Winter")</f>
        <v>Spring</v>
      </c>
      <c r="R230" s="9" t="str">
        <f>CHOOSE(FinalData[[#This Row],[Weathersituation]],"Clear","Mist","Light Rain","Heavy Rain")</f>
        <v>Clear</v>
      </c>
      <c r="S230" s="9" t="str">
        <f>TEXT(FinalData[[#This Row],[Date]],"mmm")</f>
        <v>Feb</v>
      </c>
    </row>
    <row r="231" spans="1:19" x14ac:dyDescent="0.3">
      <c r="A231">
        <v>840</v>
      </c>
      <c r="B231" s="1">
        <v>40581</v>
      </c>
      <c r="C231">
        <v>1</v>
      </c>
      <c r="D231">
        <v>0</v>
      </c>
      <c r="E231">
        <v>2</v>
      </c>
      <c r="F231">
        <v>10</v>
      </c>
      <c r="G231" t="b">
        <v>0</v>
      </c>
      <c r="H231">
        <v>1</v>
      </c>
      <c r="I231">
        <v>1</v>
      </c>
      <c r="J231">
        <v>0.24</v>
      </c>
      <c r="K231" s="6">
        <v>0.2576</v>
      </c>
      <c r="L231">
        <v>0.75</v>
      </c>
      <c r="M231">
        <v>0.1045</v>
      </c>
      <c r="N231" s="4">
        <v>6</v>
      </c>
      <c r="O231" s="4">
        <v>49</v>
      </c>
      <c r="P231" s="4">
        <v>55</v>
      </c>
      <c r="Q231" s="9" t="str">
        <f>CHOOSE(FinalData[[#This Row],[Season]],"Spring","Summer","Fall","Winter")</f>
        <v>Spring</v>
      </c>
      <c r="R231" s="9" t="str">
        <f>CHOOSE(FinalData[[#This Row],[Weathersituation]],"Clear","Mist","Light Rain","Heavy Rain")</f>
        <v>Clear</v>
      </c>
      <c r="S231" s="9" t="str">
        <f>TEXT(FinalData[[#This Row],[Date]],"mmm")</f>
        <v>Feb</v>
      </c>
    </row>
    <row r="232" spans="1:19" x14ac:dyDescent="0.3">
      <c r="A232">
        <v>841</v>
      </c>
      <c r="B232" s="1">
        <v>40581</v>
      </c>
      <c r="C232">
        <v>1</v>
      </c>
      <c r="D232">
        <v>0</v>
      </c>
      <c r="E232">
        <v>2</v>
      </c>
      <c r="F232">
        <v>11</v>
      </c>
      <c r="G232" t="b">
        <v>0</v>
      </c>
      <c r="H232">
        <v>1</v>
      </c>
      <c r="I232">
        <v>1</v>
      </c>
      <c r="J232">
        <v>0.3</v>
      </c>
      <c r="K232" s="6">
        <v>0.31819999999999998</v>
      </c>
      <c r="L232">
        <v>0.65</v>
      </c>
      <c r="M232">
        <v>8.9599999999999999E-2</v>
      </c>
      <c r="N232" s="4">
        <v>11</v>
      </c>
      <c r="O232" s="4">
        <v>36</v>
      </c>
      <c r="P232" s="4">
        <v>47</v>
      </c>
      <c r="Q232" s="9" t="str">
        <f>CHOOSE(FinalData[[#This Row],[Season]],"Spring","Summer","Fall","Winter")</f>
        <v>Spring</v>
      </c>
      <c r="R232" s="9" t="str">
        <f>CHOOSE(FinalData[[#This Row],[Weathersituation]],"Clear","Mist","Light Rain","Heavy Rain")</f>
        <v>Clear</v>
      </c>
      <c r="S232" s="9" t="str">
        <f>TEXT(FinalData[[#This Row],[Date]],"mmm")</f>
        <v>Feb</v>
      </c>
    </row>
    <row r="233" spans="1:19" x14ac:dyDescent="0.3">
      <c r="A233">
        <v>842</v>
      </c>
      <c r="B233" s="1">
        <v>40581</v>
      </c>
      <c r="C233">
        <v>1</v>
      </c>
      <c r="D233">
        <v>0</v>
      </c>
      <c r="E233">
        <v>2</v>
      </c>
      <c r="F233">
        <v>12</v>
      </c>
      <c r="G233" t="b">
        <v>0</v>
      </c>
      <c r="H233">
        <v>1</v>
      </c>
      <c r="I233">
        <v>2</v>
      </c>
      <c r="J233">
        <v>0.32</v>
      </c>
      <c r="K233" s="6">
        <v>0.34849999999999998</v>
      </c>
      <c r="L233">
        <v>0.62</v>
      </c>
      <c r="M233">
        <v>0</v>
      </c>
      <c r="N233" s="4">
        <v>7</v>
      </c>
      <c r="O233" s="4">
        <v>59</v>
      </c>
      <c r="P233" s="4">
        <v>66</v>
      </c>
      <c r="Q233" s="9" t="str">
        <f>CHOOSE(FinalData[[#This Row],[Season]],"Spring","Summer","Fall","Winter")</f>
        <v>Spring</v>
      </c>
      <c r="R233" s="9" t="str">
        <f>CHOOSE(FinalData[[#This Row],[Weathersituation]],"Clear","Mist","Light Rain","Heavy Rain")</f>
        <v>Mist</v>
      </c>
      <c r="S233" s="9" t="str">
        <f>TEXT(FinalData[[#This Row],[Date]],"mmm")</f>
        <v>Feb</v>
      </c>
    </row>
    <row r="234" spans="1:19" x14ac:dyDescent="0.3">
      <c r="A234">
        <v>843</v>
      </c>
      <c r="B234" s="1">
        <v>40581</v>
      </c>
      <c r="C234">
        <v>1</v>
      </c>
      <c r="D234">
        <v>0</v>
      </c>
      <c r="E234">
        <v>2</v>
      </c>
      <c r="F234">
        <v>13</v>
      </c>
      <c r="G234" t="b">
        <v>0</v>
      </c>
      <c r="H234">
        <v>1</v>
      </c>
      <c r="I234">
        <v>2</v>
      </c>
      <c r="J234">
        <v>0.36</v>
      </c>
      <c r="K234" s="6">
        <v>0.36359999999999998</v>
      </c>
      <c r="L234">
        <v>0.56999999999999995</v>
      </c>
      <c r="M234">
        <v>8.9599999999999999E-2</v>
      </c>
      <c r="N234" s="4">
        <v>10</v>
      </c>
      <c r="O234" s="4">
        <v>54</v>
      </c>
      <c r="P234" s="4">
        <v>64</v>
      </c>
      <c r="Q234" s="9" t="str">
        <f>CHOOSE(FinalData[[#This Row],[Season]],"Spring","Summer","Fall","Winter")</f>
        <v>Spring</v>
      </c>
      <c r="R234" s="9" t="str">
        <f>CHOOSE(FinalData[[#This Row],[Weathersituation]],"Clear","Mist","Light Rain","Heavy Rain")</f>
        <v>Mist</v>
      </c>
      <c r="S234" s="9" t="str">
        <f>TEXT(FinalData[[#This Row],[Date]],"mmm")</f>
        <v>Feb</v>
      </c>
    </row>
    <row r="235" spans="1:19" x14ac:dyDescent="0.3">
      <c r="A235">
        <v>844</v>
      </c>
      <c r="B235" s="1">
        <v>40581</v>
      </c>
      <c r="C235">
        <v>1</v>
      </c>
      <c r="D235">
        <v>0</v>
      </c>
      <c r="E235">
        <v>2</v>
      </c>
      <c r="F235">
        <v>14</v>
      </c>
      <c r="G235" t="b">
        <v>0</v>
      </c>
      <c r="H235">
        <v>1</v>
      </c>
      <c r="I235">
        <v>2</v>
      </c>
      <c r="J235">
        <v>0.36</v>
      </c>
      <c r="K235" s="6">
        <v>0.36359999999999998</v>
      </c>
      <c r="L235">
        <v>0.56999999999999995</v>
      </c>
      <c r="M235">
        <v>8.9599999999999999E-2</v>
      </c>
      <c r="N235" s="4">
        <v>8</v>
      </c>
      <c r="O235" s="4">
        <v>52</v>
      </c>
      <c r="P235" s="4">
        <v>60</v>
      </c>
      <c r="Q235" s="9" t="str">
        <f>CHOOSE(FinalData[[#This Row],[Season]],"Spring","Summer","Fall","Winter")</f>
        <v>Spring</v>
      </c>
      <c r="R235" s="9" t="str">
        <f>CHOOSE(FinalData[[#This Row],[Weathersituation]],"Clear","Mist","Light Rain","Heavy Rain")</f>
        <v>Mist</v>
      </c>
      <c r="S235" s="9" t="str">
        <f>TEXT(FinalData[[#This Row],[Date]],"mmm")</f>
        <v>Feb</v>
      </c>
    </row>
    <row r="236" spans="1:19" x14ac:dyDescent="0.3">
      <c r="A236">
        <v>845</v>
      </c>
      <c r="B236" s="1">
        <v>40581</v>
      </c>
      <c r="C236">
        <v>1</v>
      </c>
      <c r="D236">
        <v>0</v>
      </c>
      <c r="E236">
        <v>2</v>
      </c>
      <c r="F236">
        <v>15</v>
      </c>
      <c r="G236" t="b">
        <v>0</v>
      </c>
      <c r="H236">
        <v>1</v>
      </c>
      <c r="I236">
        <v>2</v>
      </c>
      <c r="J236">
        <v>0.38</v>
      </c>
      <c r="K236" s="6">
        <v>0.39389999999999997</v>
      </c>
      <c r="L236">
        <v>0.54</v>
      </c>
      <c r="M236">
        <v>8.9599999999999999E-2</v>
      </c>
      <c r="N236" s="4">
        <v>4</v>
      </c>
      <c r="O236" s="4">
        <v>46</v>
      </c>
      <c r="P236" s="4">
        <v>50</v>
      </c>
      <c r="Q236" s="9" t="str">
        <f>CHOOSE(FinalData[[#This Row],[Season]],"Spring","Summer","Fall","Winter")</f>
        <v>Spring</v>
      </c>
      <c r="R236" s="9" t="str">
        <f>CHOOSE(FinalData[[#This Row],[Weathersituation]],"Clear","Mist","Light Rain","Heavy Rain")</f>
        <v>Mist</v>
      </c>
      <c r="S236" s="9" t="str">
        <f>TEXT(FinalData[[#This Row],[Date]],"mmm")</f>
        <v>Feb</v>
      </c>
    </row>
    <row r="237" spans="1:19" x14ac:dyDescent="0.3">
      <c r="A237">
        <v>846</v>
      </c>
      <c r="B237" s="1">
        <v>40581</v>
      </c>
      <c r="C237">
        <v>1</v>
      </c>
      <c r="D237">
        <v>0</v>
      </c>
      <c r="E237">
        <v>2</v>
      </c>
      <c r="F237">
        <v>16</v>
      </c>
      <c r="G237" t="b">
        <v>0</v>
      </c>
      <c r="H237">
        <v>1</v>
      </c>
      <c r="I237">
        <v>2</v>
      </c>
      <c r="J237">
        <v>0.36</v>
      </c>
      <c r="K237" s="6">
        <v>0.34849999999999998</v>
      </c>
      <c r="L237">
        <v>0.56999999999999995</v>
      </c>
      <c r="M237">
        <v>0.1343</v>
      </c>
      <c r="N237" s="4">
        <v>16</v>
      </c>
      <c r="O237" s="4">
        <v>98</v>
      </c>
      <c r="P237" s="4">
        <v>114</v>
      </c>
      <c r="Q237" s="9" t="str">
        <f>CHOOSE(FinalData[[#This Row],[Season]],"Spring","Summer","Fall","Winter")</f>
        <v>Spring</v>
      </c>
      <c r="R237" s="9" t="str">
        <f>CHOOSE(FinalData[[#This Row],[Weathersituation]],"Clear","Mist","Light Rain","Heavy Rain")</f>
        <v>Mist</v>
      </c>
      <c r="S237" s="9" t="str">
        <f>TEXT(FinalData[[#This Row],[Date]],"mmm")</f>
        <v>Feb</v>
      </c>
    </row>
    <row r="238" spans="1:19" x14ac:dyDescent="0.3">
      <c r="A238">
        <v>847</v>
      </c>
      <c r="B238" s="1">
        <v>40581</v>
      </c>
      <c r="C238">
        <v>1</v>
      </c>
      <c r="D238">
        <v>0</v>
      </c>
      <c r="E238">
        <v>2</v>
      </c>
      <c r="F238">
        <v>17</v>
      </c>
      <c r="G238" t="b">
        <v>0</v>
      </c>
      <c r="H238">
        <v>1</v>
      </c>
      <c r="I238">
        <v>2</v>
      </c>
      <c r="J238">
        <v>0.32</v>
      </c>
      <c r="K238" s="6">
        <v>0.31819999999999998</v>
      </c>
      <c r="L238">
        <v>0.7</v>
      </c>
      <c r="M238">
        <v>0.16420000000000001</v>
      </c>
      <c r="N238" s="4">
        <v>9</v>
      </c>
      <c r="O238" s="4">
        <v>207</v>
      </c>
      <c r="P238" s="4">
        <v>216</v>
      </c>
      <c r="Q238" s="9" t="str">
        <f>CHOOSE(FinalData[[#This Row],[Season]],"Spring","Summer","Fall","Winter")</f>
        <v>Spring</v>
      </c>
      <c r="R238" s="9" t="str">
        <f>CHOOSE(FinalData[[#This Row],[Weathersituation]],"Clear","Mist","Light Rain","Heavy Rain")</f>
        <v>Mist</v>
      </c>
      <c r="S238" s="9" t="str">
        <f>TEXT(FinalData[[#This Row],[Date]],"mmm")</f>
        <v>Feb</v>
      </c>
    </row>
    <row r="239" spans="1:19" x14ac:dyDescent="0.3">
      <c r="A239">
        <v>848</v>
      </c>
      <c r="B239" s="1">
        <v>40581</v>
      </c>
      <c r="C239">
        <v>1</v>
      </c>
      <c r="D239">
        <v>0</v>
      </c>
      <c r="E239">
        <v>2</v>
      </c>
      <c r="F239">
        <v>18</v>
      </c>
      <c r="G239" t="b">
        <v>0</v>
      </c>
      <c r="H239">
        <v>1</v>
      </c>
      <c r="I239">
        <v>2</v>
      </c>
      <c r="J239">
        <v>0.34</v>
      </c>
      <c r="K239" s="6">
        <v>0.33329999999999999</v>
      </c>
      <c r="L239">
        <v>0.66</v>
      </c>
      <c r="M239">
        <v>0.1343</v>
      </c>
      <c r="N239" s="4">
        <v>5</v>
      </c>
      <c r="O239" s="4">
        <v>170</v>
      </c>
      <c r="P239" s="4">
        <v>175</v>
      </c>
      <c r="Q239" s="9" t="str">
        <f>CHOOSE(FinalData[[#This Row],[Season]],"Spring","Summer","Fall","Winter")</f>
        <v>Spring</v>
      </c>
      <c r="R239" s="9" t="str">
        <f>CHOOSE(FinalData[[#This Row],[Weathersituation]],"Clear","Mist","Light Rain","Heavy Rain")</f>
        <v>Mist</v>
      </c>
      <c r="S239" s="9" t="str">
        <f>TEXT(FinalData[[#This Row],[Date]],"mmm")</f>
        <v>Feb</v>
      </c>
    </row>
    <row r="240" spans="1:19" x14ac:dyDescent="0.3">
      <c r="A240">
        <v>849</v>
      </c>
      <c r="B240" s="1">
        <v>40581</v>
      </c>
      <c r="C240">
        <v>1</v>
      </c>
      <c r="D240">
        <v>0</v>
      </c>
      <c r="E240">
        <v>2</v>
      </c>
      <c r="F240">
        <v>19</v>
      </c>
      <c r="G240" t="b">
        <v>0</v>
      </c>
      <c r="H240">
        <v>1</v>
      </c>
      <c r="I240">
        <v>2</v>
      </c>
      <c r="J240">
        <v>0.32</v>
      </c>
      <c r="K240" s="6">
        <v>0.34849999999999998</v>
      </c>
      <c r="L240">
        <v>0.7</v>
      </c>
      <c r="M240">
        <v>0</v>
      </c>
      <c r="N240" s="4">
        <v>5</v>
      </c>
      <c r="O240" s="4">
        <v>123</v>
      </c>
      <c r="P240" s="4">
        <v>128</v>
      </c>
      <c r="Q240" s="9" t="str">
        <f>CHOOSE(FinalData[[#This Row],[Season]],"Spring","Summer","Fall","Winter")</f>
        <v>Spring</v>
      </c>
      <c r="R240" s="9" t="str">
        <f>CHOOSE(FinalData[[#This Row],[Weathersituation]],"Clear","Mist","Light Rain","Heavy Rain")</f>
        <v>Mist</v>
      </c>
      <c r="S240" s="9" t="str">
        <f>TEXT(FinalData[[#This Row],[Date]],"mmm")</f>
        <v>Feb</v>
      </c>
    </row>
    <row r="241" spans="1:19" x14ac:dyDescent="0.3">
      <c r="A241">
        <v>850</v>
      </c>
      <c r="B241" s="1">
        <v>40581</v>
      </c>
      <c r="C241">
        <v>1</v>
      </c>
      <c r="D241">
        <v>0</v>
      </c>
      <c r="E241">
        <v>2</v>
      </c>
      <c r="F241">
        <v>20</v>
      </c>
      <c r="G241" t="b">
        <v>0</v>
      </c>
      <c r="H241">
        <v>1</v>
      </c>
      <c r="I241">
        <v>2</v>
      </c>
      <c r="J241">
        <v>0.32</v>
      </c>
      <c r="K241" s="6">
        <v>0.33329999999999999</v>
      </c>
      <c r="L241">
        <v>0.7</v>
      </c>
      <c r="M241">
        <v>0.1045</v>
      </c>
      <c r="N241" s="4">
        <v>6</v>
      </c>
      <c r="O241" s="4">
        <v>82</v>
      </c>
      <c r="P241" s="4">
        <v>88</v>
      </c>
      <c r="Q241" s="9" t="str">
        <f>CHOOSE(FinalData[[#This Row],[Season]],"Spring","Summer","Fall","Winter")</f>
        <v>Spring</v>
      </c>
      <c r="R241" s="9" t="str">
        <f>CHOOSE(FinalData[[#This Row],[Weathersituation]],"Clear","Mist","Light Rain","Heavy Rain")</f>
        <v>Mist</v>
      </c>
      <c r="S241" s="9" t="str">
        <f>TEXT(FinalData[[#This Row],[Date]],"mmm")</f>
        <v>Feb</v>
      </c>
    </row>
    <row r="242" spans="1:19" x14ac:dyDescent="0.3">
      <c r="A242">
        <v>851</v>
      </c>
      <c r="B242" s="1">
        <v>40581</v>
      </c>
      <c r="C242">
        <v>1</v>
      </c>
      <c r="D242">
        <v>0</v>
      </c>
      <c r="E242">
        <v>2</v>
      </c>
      <c r="F242">
        <v>21</v>
      </c>
      <c r="G242" t="b">
        <v>0</v>
      </c>
      <c r="H242">
        <v>1</v>
      </c>
      <c r="I242">
        <v>1</v>
      </c>
      <c r="J242">
        <v>0.32</v>
      </c>
      <c r="K242" s="6">
        <v>0.34849999999999998</v>
      </c>
      <c r="L242">
        <v>0.7</v>
      </c>
      <c r="M242">
        <v>0</v>
      </c>
      <c r="N242" s="4">
        <v>3</v>
      </c>
      <c r="O242" s="4">
        <v>75</v>
      </c>
      <c r="P242" s="4">
        <v>78</v>
      </c>
      <c r="Q242" s="9" t="str">
        <f>CHOOSE(FinalData[[#This Row],[Season]],"Spring","Summer","Fall","Winter")</f>
        <v>Spring</v>
      </c>
      <c r="R242" s="9" t="str">
        <f>CHOOSE(FinalData[[#This Row],[Weathersituation]],"Clear","Mist","Light Rain","Heavy Rain")</f>
        <v>Clear</v>
      </c>
      <c r="S242" s="9" t="str">
        <f>TEXT(FinalData[[#This Row],[Date]],"mmm")</f>
        <v>Feb</v>
      </c>
    </row>
    <row r="243" spans="1:19" x14ac:dyDescent="0.3">
      <c r="A243">
        <v>852</v>
      </c>
      <c r="B243" s="1">
        <v>40581</v>
      </c>
      <c r="C243">
        <v>1</v>
      </c>
      <c r="D243">
        <v>0</v>
      </c>
      <c r="E243">
        <v>2</v>
      </c>
      <c r="F243">
        <v>22</v>
      </c>
      <c r="G243" t="b">
        <v>0</v>
      </c>
      <c r="H243">
        <v>1</v>
      </c>
      <c r="I243">
        <v>1</v>
      </c>
      <c r="J243">
        <v>0.28000000000000003</v>
      </c>
      <c r="K243" s="6">
        <v>0.30299999999999999</v>
      </c>
      <c r="L243">
        <v>0.81</v>
      </c>
      <c r="M243">
        <v>8.9599999999999999E-2</v>
      </c>
      <c r="N243" s="4">
        <v>3</v>
      </c>
      <c r="O243" s="4">
        <v>34</v>
      </c>
      <c r="P243" s="4">
        <v>37</v>
      </c>
      <c r="Q243" s="9" t="str">
        <f>CHOOSE(FinalData[[#This Row],[Season]],"Spring","Summer","Fall","Winter")</f>
        <v>Spring</v>
      </c>
      <c r="R243" s="9" t="str">
        <f>CHOOSE(FinalData[[#This Row],[Weathersituation]],"Clear","Mist","Light Rain","Heavy Rain")</f>
        <v>Clear</v>
      </c>
      <c r="S243" s="9" t="str">
        <f>TEXT(FinalData[[#This Row],[Date]],"mmm")</f>
        <v>Feb</v>
      </c>
    </row>
    <row r="244" spans="1:19" x14ac:dyDescent="0.3">
      <c r="A244">
        <v>853</v>
      </c>
      <c r="B244" s="1">
        <v>40581</v>
      </c>
      <c r="C244">
        <v>1</v>
      </c>
      <c r="D244">
        <v>0</v>
      </c>
      <c r="E244">
        <v>2</v>
      </c>
      <c r="F244">
        <v>23</v>
      </c>
      <c r="G244" t="b">
        <v>0</v>
      </c>
      <c r="H244">
        <v>1</v>
      </c>
      <c r="I244">
        <v>2</v>
      </c>
      <c r="J244">
        <v>0.3</v>
      </c>
      <c r="K244" s="6">
        <v>0.33329999999999999</v>
      </c>
      <c r="L244">
        <v>0.81</v>
      </c>
      <c r="M244">
        <v>0</v>
      </c>
      <c r="N244" s="4">
        <v>6</v>
      </c>
      <c r="O244" s="4">
        <v>19</v>
      </c>
      <c r="P244" s="4">
        <v>25</v>
      </c>
      <c r="Q244" s="9" t="str">
        <f>CHOOSE(FinalData[[#This Row],[Season]],"Spring","Summer","Fall","Winter")</f>
        <v>Spring</v>
      </c>
      <c r="R244" s="9" t="str">
        <f>CHOOSE(FinalData[[#This Row],[Weathersituation]],"Clear","Mist","Light Rain","Heavy Rain")</f>
        <v>Mist</v>
      </c>
      <c r="S244" s="9" t="str">
        <f>TEXT(FinalData[[#This Row],[Date]],"mmm")</f>
        <v>Feb</v>
      </c>
    </row>
    <row r="245" spans="1:19" x14ac:dyDescent="0.3">
      <c r="A245">
        <v>854</v>
      </c>
      <c r="B245" s="1">
        <v>40582</v>
      </c>
      <c r="C245">
        <v>1</v>
      </c>
      <c r="D245">
        <v>0</v>
      </c>
      <c r="E245">
        <v>2</v>
      </c>
      <c r="F245">
        <v>0</v>
      </c>
      <c r="G245" t="b">
        <v>0</v>
      </c>
      <c r="H245">
        <v>2</v>
      </c>
      <c r="I245">
        <v>2</v>
      </c>
      <c r="J245">
        <v>0.28000000000000003</v>
      </c>
      <c r="K245" s="6">
        <v>0.31819999999999998</v>
      </c>
      <c r="L245">
        <v>0.87</v>
      </c>
      <c r="M245">
        <v>0</v>
      </c>
      <c r="N245" s="4">
        <v>4</v>
      </c>
      <c r="O245" s="4">
        <v>6</v>
      </c>
      <c r="P245" s="4">
        <v>10</v>
      </c>
      <c r="Q245" s="9" t="str">
        <f>CHOOSE(FinalData[[#This Row],[Season]],"Spring","Summer","Fall","Winter")</f>
        <v>Spring</v>
      </c>
      <c r="R245" s="9" t="str">
        <f>CHOOSE(FinalData[[#This Row],[Weathersituation]],"Clear","Mist","Light Rain","Heavy Rain")</f>
        <v>Mist</v>
      </c>
      <c r="S245" s="9" t="str">
        <f>TEXT(FinalData[[#This Row],[Date]],"mmm")</f>
        <v>Feb</v>
      </c>
    </row>
    <row r="246" spans="1:19" x14ac:dyDescent="0.3">
      <c r="A246">
        <v>855</v>
      </c>
      <c r="B246" s="1">
        <v>40582</v>
      </c>
      <c r="C246">
        <v>1</v>
      </c>
      <c r="D246">
        <v>0</v>
      </c>
      <c r="E246">
        <v>2</v>
      </c>
      <c r="F246">
        <v>1</v>
      </c>
      <c r="G246" t="b">
        <v>0</v>
      </c>
      <c r="H246">
        <v>2</v>
      </c>
      <c r="I246">
        <v>2</v>
      </c>
      <c r="J246">
        <v>0.28000000000000003</v>
      </c>
      <c r="K246" s="6">
        <v>0.31819999999999998</v>
      </c>
      <c r="L246">
        <v>0.87</v>
      </c>
      <c r="M246">
        <v>0</v>
      </c>
      <c r="N246" s="4">
        <v>0</v>
      </c>
      <c r="O246" s="4">
        <v>4</v>
      </c>
      <c r="P246" s="4">
        <v>4</v>
      </c>
      <c r="Q246" s="9" t="str">
        <f>CHOOSE(FinalData[[#This Row],[Season]],"Spring","Summer","Fall","Winter")</f>
        <v>Spring</v>
      </c>
      <c r="R246" s="9" t="str">
        <f>CHOOSE(FinalData[[#This Row],[Weathersituation]],"Clear","Mist","Light Rain","Heavy Rain")</f>
        <v>Mist</v>
      </c>
      <c r="S246" s="9" t="str">
        <f>TEXT(FinalData[[#This Row],[Date]],"mmm")</f>
        <v>Feb</v>
      </c>
    </row>
    <row r="247" spans="1:19" x14ac:dyDescent="0.3">
      <c r="A247">
        <v>856</v>
      </c>
      <c r="B247" s="1">
        <v>40582</v>
      </c>
      <c r="C247">
        <v>1</v>
      </c>
      <c r="D247">
        <v>0</v>
      </c>
      <c r="E247">
        <v>2</v>
      </c>
      <c r="F247">
        <v>2</v>
      </c>
      <c r="G247" t="b">
        <v>0</v>
      </c>
      <c r="H247">
        <v>2</v>
      </c>
      <c r="I247">
        <v>2</v>
      </c>
      <c r="J247">
        <v>0.26</v>
      </c>
      <c r="K247" s="6">
        <v>0.2727</v>
      </c>
      <c r="L247">
        <v>0.93</v>
      </c>
      <c r="M247">
        <v>0.1045</v>
      </c>
      <c r="N247" s="4">
        <v>1</v>
      </c>
      <c r="O247" s="4">
        <v>1</v>
      </c>
      <c r="P247" s="4">
        <v>2</v>
      </c>
      <c r="Q247" s="9" t="str">
        <f>CHOOSE(FinalData[[#This Row],[Season]],"Spring","Summer","Fall","Winter")</f>
        <v>Spring</v>
      </c>
      <c r="R247" s="9" t="str">
        <f>CHOOSE(FinalData[[#This Row],[Weathersituation]],"Clear","Mist","Light Rain","Heavy Rain")</f>
        <v>Mist</v>
      </c>
      <c r="S247" s="9" t="str">
        <f>TEXT(FinalData[[#This Row],[Date]],"mmm")</f>
        <v>Feb</v>
      </c>
    </row>
    <row r="248" spans="1:19" x14ac:dyDescent="0.3">
      <c r="A248">
        <v>857</v>
      </c>
      <c r="B248" s="1">
        <v>40582</v>
      </c>
      <c r="C248">
        <v>1</v>
      </c>
      <c r="D248">
        <v>0</v>
      </c>
      <c r="E248">
        <v>2</v>
      </c>
      <c r="F248">
        <v>3</v>
      </c>
      <c r="G248" t="b">
        <v>0</v>
      </c>
      <c r="H248">
        <v>2</v>
      </c>
      <c r="I248">
        <v>3</v>
      </c>
      <c r="J248">
        <v>0.28000000000000003</v>
      </c>
      <c r="K248" s="6">
        <v>0.2727</v>
      </c>
      <c r="L248">
        <v>0.93</v>
      </c>
      <c r="M248">
        <v>0.16420000000000001</v>
      </c>
      <c r="N248" s="4">
        <v>0</v>
      </c>
      <c r="O248" s="4">
        <v>1</v>
      </c>
      <c r="P248" s="4">
        <v>1</v>
      </c>
      <c r="Q248" s="9" t="str">
        <f>CHOOSE(FinalData[[#This Row],[Season]],"Spring","Summer","Fall","Winter")</f>
        <v>Spring</v>
      </c>
      <c r="R248" s="9" t="str">
        <f>CHOOSE(FinalData[[#This Row],[Weathersituation]],"Clear","Mist","Light Rain","Heavy Rain")</f>
        <v>Light Rain</v>
      </c>
      <c r="S248" s="9" t="str">
        <f>TEXT(FinalData[[#This Row],[Date]],"mmm")</f>
        <v>Feb</v>
      </c>
    </row>
    <row r="249" spans="1:19" x14ac:dyDescent="0.3">
      <c r="A249">
        <v>858</v>
      </c>
      <c r="B249" s="1">
        <v>40582</v>
      </c>
      <c r="C249">
        <v>1</v>
      </c>
      <c r="D249">
        <v>0</v>
      </c>
      <c r="E249">
        <v>2</v>
      </c>
      <c r="F249">
        <v>4</v>
      </c>
      <c r="G249" t="b">
        <v>0</v>
      </c>
      <c r="H249">
        <v>2</v>
      </c>
      <c r="I249">
        <v>1</v>
      </c>
      <c r="J249">
        <v>0.26</v>
      </c>
      <c r="K249" s="6">
        <v>0.2576</v>
      </c>
      <c r="L249">
        <v>0.93</v>
      </c>
      <c r="M249">
        <v>0.16420000000000001</v>
      </c>
      <c r="N249" s="4">
        <v>0</v>
      </c>
      <c r="O249" s="4">
        <v>3</v>
      </c>
      <c r="P249" s="4">
        <v>3</v>
      </c>
      <c r="Q249" s="9" t="str">
        <f>CHOOSE(FinalData[[#This Row],[Season]],"Spring","Summer","Fall","Winter")</f>
        <v>Spring</v>
      </c>
      <c r="R249" s="9" t="str">
        <f>CHOOSE(FinalData[[#This Row],[Weathersituation]],"Clear","Mist","Light Rain","Heavy Rain")</f>
        <v>Clear</v>
      </c>
      <c r="S249" s="9" t="str">
        <f>TEXT(FinalData[[#This Row],[Date]],"mmm")</f>
        <v>Feb</v>
      </c>
    </row>
    <row r="250" spans="1:19" x14ac:dyDescent="0.3">
      <c r="A250">
        <v>859</v>
      </c>
      <c r="B250" s="1">
        <v>40582</v>
      </c>
      <c r="C250">
        <v>1</v>
      </c>
      <c r="D250">
        <v>0</v>
      </c>
      <c r="E250">
        <v>2</v>
      </c>
      <c r="F250">
        <v>5</v>
      </c>
      <c r="G250" t="b">
        <v>0</v>
      </c>
      <c r="H250">
        <v>2</v>
      </c>
      <c r="I250">
        <v>1</v>
      </c>
      <c r="J250">
        <v>0.26</v>
      </c>
      <c r="K250" s="6">
        <v>0.2273</v>
      </c>
      <c r="L250">
        <v>0.81</v>
      </c>
      <c r="M250">
        <v>0.32840000000000003</v>
      </c>
      <c r="N250" s="4">
        <v>0</v>
      </c>
      <c r="O250" s="4">
        <v>2</v>
      </c>
      <c r="P250" s="4">
        <v>2</v>
      </c>
      <c r="Q250" s="9" t="str">
        <f>CHOOSE(FinalData[[#This Row],[Season]],"Spring","Summer","Fall","Winter")</f>
        <v>Spring</v>
      </c>
      <c r="R250" s="9" t="str">
        <f>CHOOSE(FinalData[[#This Row],[Weathersituation]],"Clear","Mist","Light Rain","Heavy Rain")</f>
        <v>Clear</v>
      </c>
      <c r="S250" s="9" t="str">
        <f>TEXT(FinalData[[#This Row],[Date]],"mmm")</f>
        <v>Feb</v>
      </c>
    </row>
    <row r="251" spans="1:19" x14ac:dyDescent="0.3">
      <c r="A251">
        <v>860</v>
      </c>
      <c r="B251" s="1">
        <v>40582</v>
      </c>
      <c r="C251">
        <v>1</v>
      </c>
      <c r="D251">
        <v>0</v>
      </c>
      <c r="E251">
        <v>2</v>
      </c>
      <c r="F251">
        <v>6</v>
      </c>
      <c r="G251" t="b">
        <v>0</v>
      </c>
      <c r="H251">
        <v>2</v>
      </c>
      <c r="I251">
        <v>1</v>
      </c>
      <c r="J251">
        <v>0.26</v>
      </c>
      <c r="K251" s="6">
        <v>0.2273</v>
      </c>
      <c r="L251">
        <v>0.7</v>
      </c>
      <c r="M251">
        <v>0.32840000000000003</v>
      </c>
      <c r="N251" s="4">
        <v>0</v>
      </c>
      <c r="O251" s="4">
        <v>39</v>
      </c>
      <c r="P251" s="4">
        <v>39</v>
      </c>
      <c r="Q251" s="9" t="str">
        <f>CHOOSE(FinalData[[#This Row],[Season]],"Spring","Summer","Fall","Winter")</f>
        <v>Spring</v>
      </c>
      <c r="R251" s="9" t="str">
        <f>CHOOSE(FinalData[[#This Row],[Weathersituation]],"Clear","Mist","Light Rain","Heavy Rain")</f>
        <v>Clear</v>
      </c>
      <c r="S251" s="9" t="str">
        <f>TEXT(FinalData[[#This Row],[Date]],"mmm")</f>
        <v>Feb</v>
      </c>
    </row>
    <row r="252" spans="1:19" x14ac:dyDescent="0.3">
      <c r="A252">
        <v>861</v>
      </c>
      <c r="B252" s="1">
        <v>40582</v>
      </c>
      <c r="C252">
        <v>1</v>
      </c>
      <c r="D252">
        <v>0</v>
      </c>
      <c r="E252">
        <v>2</v>
      </c>
      <c r="F252">
        <v>7</v>
      </c>
      <c r="G252" t="b">
        <v>0</v>
      </c>
      <c r="H252">
        <v>2</v>
      </c>
      <c r="I252">
        <v>1</v>
      </c>
      <c r="J252">
        <v>0.24</v>
      </c>
      <c r="K252" s="6">
        <v>0.19700000000000001</v>
      </c>
      <c r="L252">
        <v>0.65</v>
      </c>
      <c r="M252">
        <v>0.41789999999999999</v>
      </c>
      <c r="N252" s="4">
        <v>3</v>
      </c>
      <c r="O252" s="4">
        <v>97</v>
      </c>
      <c r="P252" s="4">
        <v>100</v>
      </c>
      <c r="Q252" s="9" t="str">
        <f>CHOOSE(FinalData[[#This Row],[Season]],"Spring","Summer","Fall","Winter")</f>
        <v>Spring</v>
      </c>
      <c r="R252" s="9" t="str">
        <f>CHOOSE(FinalData[[#This Row],[Weathersituation]],"Clear","Mist","Light Rain","Heavy Rain")</f>
        <v>Clear</v>
      </c>
      <c r="S252" s="9" t="str">
        <f>TEXT(FinalData[[#This Row],[Date]],"mmm")</f>
        <v>Feb</v>
      </c>
    </row>
    <row r="253" spans="1:19" x14ac:dyDescent="0.3">
      <c r="A253">
        <v>862</v>
      </c>
      <c r="B253" s="1">
        <v>40582</v>
      </c>
      <c r="C253">
        <v>1</v>
      </c>
      <c r="D253">
        <v>0</v>
      </c>
      <c r="E253">
        <v>2</v>
      </c>
      <c r="F253">
        <v>8</v>
      </c>
      <c r="G253" t="b">
        <v>0</v>
      </c>
      <c r="H253">
        <v>2</v>
      </c>
      <c r="I253">
        <v>1</v>
      </c>
      <c r="J253">
        <v>0.24</v>
      </c>
      <c r="K253" s="6">
        <v>0.19700000000000001</v>
      </c>
      <c r="L253">
        <v>0.56000000000000005</v>
      </c>
      <c r="M253">
        <v>0.49249999999999999</v>
      </c>
      <c r="N253" s="4">
        <v>7</v>
      </c>
      <c r="O253" s="4">
        <v>236</v>
      </c>
      <c r="P253" s="4">
        <v>243</v>
      </c>
      <c r="Q253" s="9" t="str">
        <f>CHOOSE(FinalData[[#This Row],[Season]],"Spring","Summer","Fall","Winter")</f>
        <v>Spring</v>
      </c>
      <c r="R253" s="9" t="str">
        <f>CHOOSE(FinalData[[#This Row],[Weathersituation]],"Clear","Mist","Light Rain","Heavy Rain")</f>
        <v>Clear</v>
      </c>
      <c r="S253" s="9" t="str">
        <f>TEXT(FinalData[[#This Row],[Date]],"mmm")</f>
        <v>Feb</v>
      </c>
    </row>
    <row r="254" spans="1:19" x14ac:dyDescent="0.3">
      <c r="A254">
        <v>863</v>
      </c>
      <c r="B254" s="1">
        <v>40582</v>
      </c>
      <c r="C254">
        <v>1</v>
      </c>
      <c r="D254">
        <v>0</v>
      </c>
      <c r="E254">
        <v>2</v>
      </c>
      <c r="F254">
        <v>9</v>
      </c>
      <c r="G254" t="b">
        <v>0</v>
      </c>
      <c r="H254">
        <v>2</v>
      </c>
      <c r="I254">
        <v>1</v>
      </c>
      <c r="J254">
        <v>0.24</v>
      </c>
      <c r="K254" s="6">
        <v>0.19700000000000001</v>
      </c>
      <c r="L254">
        <v>0.52</v>
      </c>
      <c r="M254">
        <v>0.49249999999999999</v>
      </c>
      <c r="N254" s="4">
        <v>7</v>
      </c>
      <c r="O254" s="4">
        <v>128</v>
      </c>
      <c r="P254" s="4">
        <v>135</v>
      </c>
      <c r="Q254" s="9" t="str">
        <f>CHOOSE(FinalData[[#This Row],[Season]],"Spring","Summer","Fall","Winter")</f>
        <v>Spring</v>
      </c>
      <c r="R254" s="9" t="str">
        <f>CHOOSE(FinalData[[#This Row],[Weathersituation]],"Clear","Mist","Light Rain","Heavy Rain")</f>
        <v>Clear</v>
      </c>
      <c r="S254" s="9" t="str">
        <f>TEXT(FinalData[[#This Row],[Date]],"mmm")</f>
        <v>Feb</v>
      </c>
    </row>
    <row r="255" spans="1:19" x14ac:dyDescent="0.3">
      <c r="A255">
        <v>864</v>
      </c>
      <c r="B255" s="1">
        <v>40582</v>
      </c>
      <c r="C255">
        <v>1</v>
      </c>
      <c r="D255">
        <v>0</v>
      </c>
      <c r="E255">
        <v>2</v>
      </c>
      <c r="F255">
        <v>10</v>
      </c>
      <c r="G255" t="b">
        <v>0</v>
      </c>
      <c r="H255">
        <v>2</v>
      </c>
      <c r="I255">
        <v>1</v>
      </c>
      <c r="J255">
        <v>0.22</v>
      </c>
      <c r="K255" s="6">
        <v>0.18179999999999999</v>
      </c>
      <c r="L255">
        <v>0.47</v>
      </c>
      <c r="M255">
        <v>0.55220000000000002</v>
      </c>
      <c r="N255" s="4">
        <v>4</v>
      </c>
      <c r="O255" s="4">
        <v>44</v>
      </c>
      <c r="P255" s="4">
        <v>48</v>
      </c>
      <c r="Q255" s="9" t="str">
        <f>CHOOSE(FinalData[[#This Row],[Season]],"Spring","Summer","Fall","Winter")</f>
        <v>Spring</v>
      </c>
      <c r="R255" s="9" t="str">
        <f>CHOOSE(FinalData[[#This Row],[Weathersituation]],"Clear","Mist","Light Rain","Heavy Rain")</f>
        <v>Clear</v>
      </c>
      <c r="S255" s="9" t="str">
        <f>TEXT(FinalData[[#This Row],[Date]],"mmm")</f>
        <v>Feb</v>
      </c>
    </row>
    <row r="256" spans="1:19" x14ac:dyDescent="0.3">
      <c r="A256">
        <v>865</v>
      </c>
      <c r="B256" s="1">
        <v>40582</v>
      </c>
      <c r="C256">
        <v>1</v>
      </c>
      <c r="D256">
        <v>0</v>
      </c>
      <c r="E256">
        <v>2</v>
      </c>
      <c r="F256">
        <v>11</v>
      </c>
      <c r="G256" t="b">
        <v>0</v>
      </c>
      <c r="H256">
        <v>2</v>
      </c>
      <c r="I256">
        <v>1</v>
      </c>
      <c r="J256">
        <v>0.22</v>
      </c>
      <c r="K256" s="6">
        <v>0.18179999999999999</v>
      </c>
      <c r="L256">
        <v>0.47</v>
      </c>
      <c r="M256">
        <v>0.4627</v>
      </c>
      <c r="N256" s="4">
        <v>1</v>
      </c>
      <c r="O256" s="4">
        <v>49</v>
      </c>
      <c r="P256" s="4">
        <v>50</v>
      </c>
      <c r="Q256" s="9" t="str">
        <f>CHOOSE(FinalData[[#This Row],[Season]],"Spring","Summer","Fall","Winter")</f>
        <v>Spring</v>
      </c>
      <c r="R256" s="9" t="str">
        <f>CHOOSE(FinalData[[#This Row],[Weathersituation]],"Clear","Mist","Light Rain","Heavy Rain")</f>
        <v>Clear</v>
      </c>
      <c r="S256" s="9" t="str">
        <f>TEXT(FinalData[[#This Row],[Date]],"mmm")</f>
        <v>Feb</v>
      </c>
    </row>
    <row r="257" spans="1:19" x14ac:dyDescent="0.3">
      <c r="A257">
        <v>866</v>
      </c>
      <c r="B257" s="1">
        <v>40582</v>
      </c>
      <c r="C257">
        <v>1</v>
      </c>
      <c r="D257">
        <v>0</v>
      </c>
      <c r="E257">
        <v>2</v>
      </c>
      <c r="F257">
        <v>12</v>
      </c>
      <c r="G257" t="b">
        <v>0</v>
      </c>
      <c r="H257">
        <v>2</v>
      </c>
      <c r="I257">
        <v>1</v>
      </c>
      <c r="J257">
        <v>0.24</v>
      </c>
      <c r="K257" s="6">
        <v>0.19700000000000001</v>
      </c>
      <c r="L257">
        <v>0.38</v>
      </c>
      <c r="M257">
        <v>0.49249999999999999</v>
      </c>
      <c r="N257" s="4">
        <v>2</v>
      </c>
      <c r="O257" s="4">
        <v>63</v>
      </c>
      <c r="P257" s="4">
        <v>65</v>
      </c>
      <c r="Q257" s="9" t="str">
        <f>CHOOSE(FinalData[[#This Row],[Season]],"Spring","Summer","Fall","Winter")</f>
        <v>Spring</v>
      </c>
      <c r="R257" s="9" t="str">
        <f>CHOOSE(FinalData[[#This Row],[Weathersituation]],"Clear","Mist","Light Rain","Heavy Rain")</f>
        <v>Clear</v>
      </c>
      <c r="S257" s="9" t="str">
        <f>TEXT(FinalData[[#This Row],[Date]],"mmm")</f>
        <v>Feb</v>
      </c>
    </row>
    <row r="258" spans="1:19" x14ac:dyDescent="0.3">
      <c r="A258">
        <v>867</v>
      </c>
      <c r="B258" s="1">
        <v>40582</v>
      </c>
      <c r="C258">
        <v>1</v>
      </c>
      <c r="D258">
        <v>0</v>
      </c>
      <c r="E258">
        <v>2</v>
      </c>
      <c r="F258">
        <v>13</v>
      </c>
      <c r="G258" t="b">
        <v>0</v>
      </c>
      <c r="H258">
        <v>2</v>
      </c>
      <c r="I258">
        <v>2</v>
      </c>
      <c r="J258">
        <v>0.24</v>
      </c>
      <c r="K258" s="6">
        <v>0.19700000000000001</v>
      </c>
      <c r="L258">
        <v>0.32</v>
      </c>
      <c r="M258">
        <v>0.44779999999999998</v>
      </c>
      <c r="N258" s="4">
        <v>2</v>
      </c>
      <c r="O258" s="4">
        <v>48</v>
      </c>
      <c r="P258" s="4">
        <v>50</v>
      </c>
      <c r="Q258" s="9" t="str">
        <f>CHOOSE(FinalData[[#This Row],[Season]],"Spring","Summer","Fall","Winter")</f>
        <v>Spring</v>
      </c>
      <c r="R258" s="9" t="str">
        <f>CHOOSE(FinalData[[#This Row],[Weathersituation]],"Clear","Mist","Light Rain","Heavy Rain")</f>
        <v>Mist</v>
      </c>
      <c r="S258" s="9" t="str">
        <f>TEXT(FinalData[[#This Row],[Date]],"mmm")</f>
        <v>Feb</v>
      </c>
    </row>
    <row r="259" spans="1:19" x14ac:dyDescent="0.3">
      <c r="A259">
        <v>868</v>
      </c>
      <c r="B259" s="1">
        <v>40582</v>
      </c>
      <c r="C259">
        <v>1</v>
      </c>
      <c r="D259">
        <v>0</v>
      </c>
      <c r="E259">
        <v>2</v>
      </c>
      <c r="F259">
        <v>14</v>
      </c>
      <c r="G259" t="b">
        <v>0</v>
      </c>
      <c r="H259">
        <v>2</v>
      </c>
      <c r="I259">
        <v>1</v>
      </c>
      <c r="J259">
        <v>0.22</v>
      </c>
      <c r="K259" s="6">
        <v>0.19700000000000001</v>
      </c>
      <c r="L259">
        <v>0.37</v>
      </c>
      <c r="M259">
        <v>0.41789999999999999</v>
      </c>
      <c r="N259" s="4">
        <v>3</v>
      </c>
      <c r="O259" s="4">
        <v>61</v>
      </c>
      <c r="P259" s="4">
        <v>64</v>
      </c>
      <c r="Q259" s="9" t="str">
        <f>CHOOSE(FinalData[[#This Row],[Season]],"Spring","Summer","Fall","Winter")</f>
        <v>Spring</v>
      </c>
      <c r="R259" s="9" t="str">
        <f>CHOOSE(FinalData[[#This Row],[Weathersituation]],"Clear","Mist","Light Rain","Heavy Rain")</f>
        <v>Clear</v>
      </c>
      <c r="S259" s="9" t="str">
        <f>TEXT(FinalData[[#This Row],[Date]],"mmm")</f>
        <v>Feb</v>
      </c>
    </row>
    <row r="260" spans="1:19" x14ac:dyDescent="0.3">
      <c r="A260">
        <v>869</v>
      </c>
      <c r="B260" s="1">
        <v>40582</v>
      </c>
      <c r="C260">
        <v>1</v>
      </c>
      <c r="D260">
        <v>0</v>
      </c>
      <c r="E260">
        <v>2</v>
      </c>
      <c r="F260">
        <v>15</v>
      </c>
      <c r="G260" t="b">
        <v>0</v>
      </c>
      <c r="H260">
        <v>2</v>
      </c>
      <c r="I260">
        <v>1</v>
      </c>
      <c r="J260">
        <v>0.22</v>
      </c>
      <c r="K260" s="6">
        <v>0.19700000000000001</v>
      </c>
      <c r="L260">
        <v>0.35</v>
      </c>
      <c r="M260">
        <v>0.3881</v>
      </c>
      <c r="N260" s="4">
        <v>6</v>
      </c>
      <c r="O260" s="4">
        <v>45</v>
      </c>
      <c r="P260" s="4">
        <v>51</v>
      </c>
      <c r="Q260" s="9" t="str">
        <f>CHOOSE(FinalData[[#This Row],[Season]],"Spring","Summer","Fall","Winter")</f>
        <v>Spring</v>
      </c>
      <c r="R260" s="9" t="str">
        <f>CHOOSE(FinalData[[#This Row],[Weathersituation]],"Clear","Mist","Light Rain","Heavy Rain")</f>
        <v>Clear</v>
      </c>
      <c r="S260" s="9" t="str">
        <f>TEXT(FinalData[[#This Row],[Date]],"mmm")</f>
        <v>Feb</v>
      </c>
    </row>
    <row r="261" spans="1:19" x14ac:dyDescent="0.3">
      <c r="A261">
        <v>870</v>
      </c>
      <c r="B261" s="1">
        <v>40582</v>
      </c>
      <c r="C261">
        <v>1</v>
      </c>
      <c r="D261">
        <v>0</v>
      </c>
      <c r="E261">
        <v>2</v>
      </c>
      <c r="F261">
        <v>16</v>
      </c>
      <c r="G261" t="b">
        <v>0</v>
      </c>
      <c r="H261">
        <v>2</v>
      </c>
      <c r="I261">
        <v>1</v>
      </c>
      <c r="J261">
        <v>0.22</v>
      </c>
      <c r="K261" s="6">
        <v>0.18179999999999999</v>
      </c>
      <c r="L261">
        <v>0.35</v>
      </c>
      <c r="M261">
        <v>0.52239999999999998</v>
      </c>
      <c r="N261" s="4">
        <v>4</v>
      </c>
      <c r="O261" s="4">
        <v>79</v>
      </c>
      <c r="P261" s="4">
        <v>83</v>
      </c>
      <c r="Q261" s="9" t="str">
        <f>CHOOSE(FinalData[[#This Row],[Season]],"Spring","Summer","Fall","Winter")</f>
        <v>Spring</v>
      </c>
      <c r="R261" s="9" t="str">
        <f>CHOOSE(FinalData[[#This Row],[Weathersituation]],"Clear","Mist","Light Rain","Heavy Rain")</f>
        <v>Clear</v>
      </c>
      <c r="S261" s="9" t="str">
        <f>TEXT(FinalData[[#This Row],[Date]],"mmm")</f>
        <v>Feb</v>
      </c>
    </row>
    <row r="262" spans="1:19" x14ac:dyDescent="0.3">
      <c r="A262">
        <v>871</v>
      </c>
      <c r="B262" s="1">
        <v>40582</v>
      </c>
      <c r="C262">
        <v>1</v>
      </c>
      <c r="D262">
        <v>0</v>
      </c>
      <c r="E262">
        <v>2</v>
      </c>
      <c r="F262">
        <v>17</v>
      </c>
      <c r="G262" t="b">
        <v>0</v>
      </c>
      <c r="H262">
        <v>2</v>
      </c>
      <c r="I262">
        <v>1</v>
      </c>
      <c r="J262">
        <v>0.22</v>
      </c>
      <c r="K262" s="6">
        <v>0.18179999999999999</v>
      </c>
      <c r="L262">
        <v>0.32</v>
      </c>
      <c r="M262">
        <v>0.58209999999999995</v>
      </c>
      <c r="N262" s="4">
        <v>4</v>
      </c>
      <c r="O262" s="4">
        <v>172</v>
      </c>
      <c r="P262" s="4">
        <v>176</v>
      </c>
      <c r="Q262" s="9" t="str">
        <f>CHOOSE(FinalData[[#This Row],[Season]],"Spring","Summer","Fall","Winter")</f>
        <v>Spring</v>
      </c>
      <c r="R262" s="9" t="str">
        <f>CHOOSE(FinalData[[#This Row],[Weathersituation]],"Clear","Mist","Light Rain","Heavy Rain")</f>
        <v>Clear</v>
      </c>
      <c r="S262" s="9" t="str">
        <f>TEXT(FinalData[[#This Row],[Date]],"mmm")</f>
        <v>Feb</v>
      </c>
    </row>
    <row r="263" spans="1:19" x14ac:dyDescent="0.3">
      <c r="A263">
        <v>872</v>
      </c>
      <c r="B263" s="1">
        <v>40582</v>
      </c>
      <c r="C263">
        <v>1</v>
      </c>
      <c r="D263">
        <v>0</v>
      </c>
      <c r="E263">
        <v>2</v>
      </c>
      <c r="F263">
        <v>18</v>
      </c>
      <c r="G263" t="b">
        <v>0</v>
      </c>
      <c r="H263">
        <v>2</v>
      </c>
      <c r="I263">
        <v>1</v>
      </c>
      <c r="J263">
        <v>0.2</v>
      </c>
      <c r="K263" s="6">
        <v>0.18179999999999999</v>
      </c>
      <c r="L263">
        <v>0.32</v>
      </c>
      <c r="M263">
        <v>0.3881</v>
      </c>
      <c r="N263" s="4">
        <v>1</v>
      </c>
      <c r="O263" s="4">
        <v>151</v>
      </c>
      <c r="P263" s="4">
        <v>152</v>
      </c>
      <c r="Q263" s="9" t="str">
        <f>CHOOSE(FinalData[[#This Row],[Season]],"Spring","Summer","Fall","Winter")</f>
        <v>Spring</v>
      </c>
      <c r="R263" s="9" t="str">
        <f>CHOOSE(FinalData[[#This Row],[Weathersituation]],"Clear","Mist","Light Rain","Heavy Rain")</f>
        <v>Clear</v>
      </c>
      <c r="S263" s="9" t="str">
        <f>TEXT(FinalData[[#This Row],[Date]],"mmm")</f>
        <v>Feb</v>
      </c>
    </row>
    <row r="264" spans="1:19" x14ac:dyDescent="0.3">
      <c r="A264">
        <v>873</v>
      </c>
      <c r="B264" s="1">
        <v>40582</v>
      </c>
      <c r="C264">
        <v>1</v>
      </c>
      <c r="D264">
        <v>0</v>
      </c>
      <c r="E264">
        <v>2</v>
      </c>
      <c r="F264">
        <v>19</v>
      </c>
      <c r="G264" t="b">
        <v>0</v>
      </c>
      <c r="H264">
        <v>2</v>
      </c>
      <c r="I264">
        <v>1</v>
      </c>
      <c r="J264">
        <v>0.16</v>
      </c>
      <c r="K264" s="6">
        <v>0.1212</v>
      </c>
      <c r="L264">
        <v>0.4</v>
      </c>
      <c r="M264">
        <v>0.4627</v>
      </c>
      <c r="N264" s="4">
        <v>1</v>
      </c>
      <c r="O264" s="4">
        <v>100</v>
      </c>
      <c r="P264" s="4">
        <v>101</v>
      </c>
      <c r="Q264" s="9" t="str">
        <f>CHOOSE(FinalData[[#This Row],[Season]],"Spring","Summer","Fall","Winter")</f>
        <v>Spring</v>
      </c>
      <c r="R264" s="9" t="str">
        <f>CHOOSE(FinalData[[#This Row],[Weathersituation]],"Clear","Mist","Light Rain","Heavy Rain")</f>
        <v>Clear</v>
      </c>
      <c r="S264" s="9" t="str">
        <f>TEXT(FinalData[[#This Row],[Date]],"mmm")</f>
        <v>Feb</v>
      </c>
    </row>
    <row r="265" spans="1:19" x14ac:dyDescent="0.3">
      <c r="A265">
        <v>874</v>
      </c>
      <c r="B265" s="1">
        <v>40582</v>
      </c>
      <c r="C265">
        <v>1</v>
      </c>
      <c r="D265">
        <v>0</v>
      </c>
      <c r="E265">
        <v>2</v>
      </c>
      <c r="F265">
        <v>20</v>
      </c>
      <c r="G265" t="b">
        <v>0</v>
      </c>
      <c r="H265">
        <v>2</v>
      </c>
      <c r="I265">
        <v>1</v>
      </c>
      <c r="J265">
        <v>0.16</v>
      </c>
      <c r="K265" s="6">
        <v>0.13639999999999999</v>
      </c>
      <c r="L265">
        <v>0.4</v>
      </c>
      <c r="M265">
        <v>0.32840000000000003</v>
      </c>
      <c r="N265" s="4">
        <v>3</v>
      </c>
      <c r="O265" s="4">
        <v>53</v>
      </c>
      <c r="P265" s="4">
        <v>56</v>
      </c>
      <c r="Q265" s="9" t="str">
        <f>CHOOSE(FinalData[[#This Row],[Season]],"Spring","Summer","Fall","Winter")</f>
        <v>Spring</v>
      </c>
      <c r="R265" s="9" t="str">
        <f>CHOOSE(FinalData[[#This Row],[Weathersituation]],"Clear","Mist","Light Rain","Heavy Rain")</f>
        <v>Clear</v>
      </c>
      <c r="S265" s="9" t="str">
        <f>TEXT(FinalData[[#This Row],[Date]],"mmm")</f>
        <v>Feb</v>
      </c>
    </row>
    <row r="266" spans="1:19" x14ac:dyDescent="0.3">
      <c r="A266">
        <v>875</v>
      </c>
      <c r="B266" s="1">
        <v>40582</v>
      </c>
      <c r="C266">
        <v>1</v>
      </c>
      <c r="D266">
        <v>0</v>
      </c>
      <c r="E266">
        <v>2</v>
      </c>
      <c r="F266">
        <v>21</v>
      </c>
      <c r="G266" t="b">
        <v>0</v>
      </c>
      <c r="H266">
        <v>2</v>
      </c>
      <c r="I266">
        <v>1</v>
      </c>
      <c r="J266">
        <v>0.14000000000000001</v>
      </c>
      <c r="K266" s="6">
        <v>0.1061</v>
      </c>
      <c r="L266">
        <v>0.33</v>
      </c>
      <c r="M266">
        <v>0.4627</v>
      </c>
      <c r="N266" s="4">
        <v>8</v>
      </c>
      <c r="O266" s="4">
        <v>46</v>
      </c>
      <c r="P266" s="4">
        <v>54</v>
      </c>
      <c r="Q266" s="9" t="str">
        <f>CHOOSE(FinalData[[#This Row],[Season]],"Spring","Summer","Fall","Winter")</f>
        <v>Spring</v>
      </c>
      <c r="R266" s="9" t="str">
        <f>CHOOSE(FinalData[[#This Row],[Weathersituation]],"Clear","Mist","Light Rain","Heavy Rain")</f>
        <v>Clear</v>
      </c>
      <c r="S266" s="9" t="str">
        <f>TEXT(FinalData[[#This Row],[Date]],"mmm")</f>
        <v>Feb</v>
      </c>
    </row>
    <row r="267" spans="1:19" x14ac:dyDescent="0.3">
      <c r="A267">
        <v>876</v>
      </c>
      <c r="B267" s="1">
        <v>40582</v>
      </c>
      <c r="C267">
        <v>1</v>
      </c>
      <c r="D267">
        <v>0</v>
      </c>
      <c r="E267">
        <v>2</v>
      </c>
      <c r="F267">
        <v>22</v>
      </c>
      <c r="G267" t="b">
        <v>0</v>
      </c>
      <c r="H267">
        <v>2</v>
      </c>
      <c r="I267">
        <v>1</v>
      </c>
      <c r="J267">
        <v>0.12</v>
      </c>
      <c r="K267" s="6">
        <v>0.1061</v>
      </c>
      <c r="L267">
        <v>0.33</v>
      </c>
      <c r="M267">
        <v>0.35820000000000002</v>
      </c>
      <c r="N267" s="4">
        <v>0</v>
      </c>
      <c r="O267" s="4">
        <v>29</v>
      </c>
      <c r="P267" s="4">
        <v>29</v>
      </c>
      <c r="Q267" s="9" t="str">
        <f>CHOOSE(FinalData[[#This Row],[Season]],"Spring","Summer","Fall","Winter")</f>
        <v>Spring</v>
      </c>
      <c r="R267" s="9" t="str">
        <f>CHOOSE(FinalData[[#This Row],[Weathersituation]],"Clear","Mist","Light Rain","Heavy Rain")</f>
        <v>Clear</v>
      </c>
      <c r="S267" s="9" t="str">
        <f>TEXT(FinalData[[#This Row],[Date]],"mmm")</f>
        <v>Feb</v>
      </c>
    </row>
    <row r="268" spans="1:19" x14ac:dyDescent="0.3">
      <c r="A268">
        <v>877</v>
      </c>
      <c r="B268" s="1">
        <v>40582</v>
      </c>
      <c r="C268">
        <v>1</v>
      </c>
      <c r="D268">
        <v>0</v>
      </c>
      <c r="E268">
        <v>2</v>
      </c>
      <c r="F268">
        <v>23</v>
      </c>
      <c r="G268" t="b">
        <v>0</v>
      </c>
      <c r="H268">
        <v>2</v>
      </c>
      <c r="I268">
        <v>1</v>
      </c>
      <c r="J268">
        <v>0.12</v>
      </c>
      <c r="K268" s="6">
        <v>0.1061</v>
      </c>
      <c r="L268">
        <v>0.33</v>
      </c>
      <c r="M268">
        <v>0.32840000000000003</v>
      </c>
      <c r="N268" s="4">
        <v>3</v>
      </c>
      <c r="O268" s="4">
        <v>9</v>
      </c>
      <c r="P268" s="4">
        <v>12</v>
      </c>
      <c r="Q268" s="9" t="str">
        <f>CHOOSE(FinalData[[#This Row],[Season]],"Spring","Summer","Fall","Winter")</f>
        <v>Spring</v>
      </c>
      <c r="R268" s="9" t="str">
        <f>CHOOSE(FinalData[[#This Row],[Weathersituation]],"Clear","Mist","Light Rain","Heavy Rain")</f>
        <v>Clear</v>
      </c>
      <c r="S268" s="9" t="str">
        <f>TEXT(FinalData[[#This Row],[Date]],"mmm")</f>
        <v>Feb</v>
      </c>
    </row>
    <row r="269" spans="1:19" x14ac:dyDescent="0.3">
      <c r="A269">
        <v>878</v>
      </c>
      <c r="B269" s="1">
        <v>40583</v>
      </c>
      <c r="C269">
        <v>1</v>
      </c>
      <c r="D269">
        <v>0</v>
      </c>
      <c r="E269">
        <v>2</v>
      </c>
      <c r="F269">
        <v>0</v>
      </c>
      <c r="G269" t="b">
        <v>0</v>
      </c>
      <c r="H269">
        <v>3</v>
      </c>
      <c r="I269">
        <v>1</v>
      </c>
      <c r="J269">
        <v>0.1</v>
      </c>
      <c r="K269" s="6">
        <v>7.5800000000000006E-2</v>
      </c>
      <c r="L269">
        <v>0.36</v>
      </c>
      <c r="M269">
        <v>0.35820000000000002</v>
      </c>
      <c r="N269" s="4">
        <v>0</v>
      </c>
      <c r="O269" s="4">
        <v>17</v>
      </c>
      <c r="P269" s="4">
        <v>17</v>
      </c>
      <c r="Q269" s="9" t="str">
        <f>CHOOSE(FinalData[[#This Row],[Season]],"Spring","Summer","Fall","Winter")</f>
        <v>Spring</v>
      </c>
      <c r="R269" s="9" t="str">
        <f>CHOOSE(FinalData[[#This Row],[Weathersituation]],"Clear","Mist","Light Rain","Heavy Rain")</f>
        <v>Clear</v>
      </c>
      <c r="S269" s="9" t="str">
        <f>TEXT(FinalData[[#This Row],[Date]],"mmm")</f>
        <v>Feb</v>
      </c>
    </row>
    <row r="270" spans="1:19" x14ac:dyDescent="0.3">
      <c r="A270">
        <v>879</v>
      </c>
      <c r="B270" s="1">
        <v>40583</v>
      </c>
      <c r="C270">
        <v>1</v>
      </c>
      <c r="D270">
        <v>0</v>
      </c>
      <c r="E270">
        <v>2</v>
      </c>
      <c r="F270">
        <v>1</v>
      </c>
      <c r="G270" t="b">
        <v>0</v>
      </c>
      <c r="H270">
        <v>3</v>
      </c>
      <c r="I270">
        <v>1</v>
      </c>
      <c r="J270">
        <v>0.1</v>
      </c>
      <c r="K270" s="6">
        <v>0.1061</v>
      </c>
      <c r="L270">
        <v>0.36</v>
      </c>
      <c r="M270">
        <v>0.22389999999999999</v>
      </c>
      <c r="N270" s="4">
        <v>0</v>
      </c>
      <c r="O270" s="4">
        <v>7</v>
      </c>
      <c r="P270" s="4">
        <v>7</v>
      </c>
      <c r="Q270" s="9" t="str">
        <f>CHOOSE(FinalData[[#This Row],[Season]],"Spring","Summer","Fall","Winter")</f>
        <v>Spring</v>
      </c>
      <c r="R270" s="9" t="str">
        <f>CHOOSE(FinalData[[#This Row],[Weathersituation]],"Clear","Mist","Light Rain","Heavy Rain")</f>
        <v>Clear</v>
      </c>
      <c r="S270" s="9" t="str">
        <f>TEXT(FinalData[[#This Row],[Date]],"mmm")</f>
        <v>Feb</v>
      </c>
    </row>
    <row r="271" spans="1:19" x14ac:dyDescent="0.3">
      <c r="A271">
        <v>880</v>
      </c>
      <c r="B271" s="1">
        <v>40583</v>
      </c>
      <c r="C271">
        <v>1</v>
      </c>
      <c r="D271">
        <v>0</v>
      </c>
      <c r="E271">
        <v>2</v>
      </c>
      <c r="F271">
        <v>2</v>
      </c>
      <c r="G271" t="b">
        <v>0</v>
      </c>
      <c r="H271">
        <v>3</v>
      </c>
      <c r="I271">
        <v>1</v>
      </c>
      <c r="J271">
        <v>0.08</v>
      </c>
      <c r="K271" s="6">
        <v>7.5800000000000006E-2</v>
      </c>
      <c r="L271">
        <v>0.38</v>
      </c>
      <c r="M271">
        <v>0.28360000000000002</v>
      </c>
      <c r="N271" s="4">
        <v>1</v>
      </c>
      <c r="O271" s="4">
        <v>2</v>
      </c>
      <c r="P271" s="4">
        <v>3</v>
      </c>
      <c r="Q271" s="9" t="str">
        <f>CHOOSE(FinalData[[#This Row],[Season]],"Spring","Summer","Fall","Winter")</f>
        <v>Spring</v>
      </c>
      <c r="R271" s="9" t="str">
        <f>CHOOSE(FinalData[[#This Row],[Weathersituation]],"Clear","Mist","Light Rain","Heavy Rain")</f>
        <v>Clear</v>
      </c>
      <c r="S271" s="9" t="str">
        <f>TEXT(FinalData[[#This Row],[Date]],"mmm")</f>
        <v>Feb</v>
      </c>
    </row>
    <row r="272" spans="1:19" x14ac:dyDescent="0.3">
      <c r="A272">
        <v>881</v>
      </c>
      <c r="B272" s="1">
        <v>40583</v>
      </c>
      <c r="C272">
        <v>1</v>
      </c>
      <c r="D272">
        <v>0</v>
      </c>
      <c r="E272">
        <v>2</v>
      </c>
      <c r="F272">
        <v>3</v>
      </c>
      <c r="G272" t="b">
        <v>0</v>
      </c>
      <c r="H272">
        <v>3</v>
      </c>
      <c r="I272">
        <v>1</v>
      </c>
      <c r="J272">
        <v>0.06</v>
      </c>
      <c r="K272" s="6">
        <v>7.5800000000000006E-2</v>
      </c>
      <c r="L272">
        <v>0.45</v>
      </c>
      <c r="M272">
        <v>0.1343</v>
      </c>
      <c r="N272" s="4">
        <v>0</v>
      </c>
      <c r="O272" s="4">
        <v>2</v>
      </c>
      <c r="P272" s="4">
        <v>2</v>
      </c>
      <c r="Q272" s="9" t="str">
        <f>CHOOSE(FinalData[[#This Row],[Season]],"Spring","Summer","Fall","Winter")</f>
        <v>Spring</v>
      </c>
      <c r="R272" s="9" t="str">
        <f>CHOOSE(FinalData[[#This Row],[Weathersituation]],"Clear","Mist","Light Rain","Heavy Rain")</f>
        <v>Clear</v>
      </c>
      <c r="S272" s="9" t="str">
        <f>TEXT(FinalData[[#This Row],[Date]],"mmm")</f>
        <v>Feb</v>
      </c>
    </row>
    <row r="273" spans="1:19" x14ac:dyDescent="0.3">
      <c r="A273">
        <v>882</v>
      </c>
      <c r="B273" s="1">
        <v>40583</v>
      </c>
      <c r="C273">
        <v>1</v>
      </c>
      <c r="D273">
        <v>0</v>
      </c>
      <c r="E273">
        <v>2</v>
      </c>
      <c r="F273">
        <v>5</v>
      </c>
      <c r="G273" t="b">
        <v>0</v>
      </c>
      <c r="H273">
        <v>3</v>
      </c>
      <c r="I273">
        <v>1</v>
      </c>
      <c r="J273">
        <v>0.06</v>
      </c>
      <c r="K273" s="6">
        <v>0.1061</v>
      </c>
      <c r="L273">
        <v>0.45</v>
      </c>
      <c r="M273">
        <v>0.1045</v>
      </c>
      <c r="N273" s="4">
        <v>0</v>
      </c>
      <c r="O273" s="4">
        <v>7</v>
      </c>
      <c r="P273" s="4">
        <v>7</v>
      </c>
      <c r="Q273" s="9" t="str">
        <f>CHOOSE(FinalData[[#This Row],[Season]],"Spring","Summer","Fall","Winter")</f>
        <v>Spring</v>
      </c>
      <c r="R273" s="9" t="str">
        <f>CHOOSE(FinalData[[#This Row],[Weathersituation]],"Clear","Mist","Light Rain","Heavy Rain")</f>
        <v>Clear</v>
      </c>
      <c r="S273" s="9" t="str">
        <f>TEXT(FinalData[[#This Row],[Date]],"mmm")</f>
        <v>Feb</v>
      </c>
    </row>
    <row r="274" spans="1:19" x14ac:dyDescent="0.3">
      <c r="A274">
        <v>883</v>
      </c>
      <c r="B274" s="1">
        <v>40583</v>
      </c>
      <c r="C274">
        <v>1</v>
      </c>
      <c r="D274">
        <v>0</v>
      </c>
      <c r="E274">
        <v>2</v>
      </c>
      <c r="F274">
        <v>6</v>
      </c>
      <c r="G274" t="b">
        <v>0</v>
      </c>
      <c r="H274">
        <v>3</v>
      </c>
      <c r="I274">
        <v>1</v>
      </c>
      <c r="J274">
        <v>0.06</v>
      </c>
      <c r="K274" s="6">
        <v>0.1515</v>
      </c>
      <c r="L274">
        <v>0.45</v>
      </c>
      <c r="M274">
        <v>0</v>
      </c>
      <c r="N274" s="4">
        <v>0</v>
      </c>
      <c r="O274" s="4">
        <v>43</v>
      </c>
      <c r="P274" s="4">
        <v>43</v>
      </c>
      <c r="Q274" s="9" t="str">
        <f>CHOOSE(FinalData[[#This Row],[Season]],"Spring","Summer","Fall","Winter")</f>
        <v>Spring</v>
      </c>
      <c r="R274" s="9" t="str">
        <f>CHOOSE(FinalData[[#This Row],[Weathersituation]],"Clear","Mist","Light Rain","Heavy Rain")</f>
        <v>Clear</v>
      </c>
      <c r="S274" s="9" t="str">
        <f>TEXT(FinalData[[#This Row],[Date]],"mmm")</f>
        <v>Feb</v>
      </c>
    </row>
    <row r="275" spans="1:19" x14ac:dyDescent="0.3">
      <c r="A275">
        <v>884</v>
      </c>
      <c r="B275" s="1">
        <v>40583</v>
      </c>
      <c r="C275">
        <v>1</v>
      </c>
      <c r="D275">
        <v>0</v>
      </c>
      <c r="E275">
        <v>2</v>
      </c>
      <c r="F275">
        <v>7</v>
      </c>
      <c r="G275" t="b">
        <v>0</v>
      </c>
      <c r="H275">
        <v>3</v>
      </c>
      <c r="I275">
        <v>1</v>
      </c>
      <c r="J275">
        <v>0.06</v>
      </c>
      <c r="K275" s="6">
        <v>0.1061</v>
      </c>
      <c r="L275">
        <v>0.49</v>
      </c>
      <c r="M275">
        <v>0.1045</v>
      </c>
      <c r="N275" s="4">
        <v>4</v>
      </c>
      <c r="O275" s="4">
        <v>95</v>
      </c>
      <c r="P275" s="4">
        <v>99</v>
      </c>
      <c r="Q275" s="9" t="str">
        <f>CHOOSE(FinalData[[#This Row],[Season]],"Spring","Summer","Fall","Winter")</f>
        <v>Spring</v>
      </c>
      <c r="R275" s="9" t="str">
        <f>CHOOSE(FinalData[[#This Row],[Weathersituation]],"Clear","Mist","Light Rain","Heavy Rain")</f>
        <v>Clear</v>
      </c>
      <c r="S275" s="9" t="str">
        <f>TEXT(FinalData[[#This Row],[Date]],"mmm")</f>
        <v>Feb</v>
      </c>
    </row>
    <row r="276" spans="1:19" x14ac:dyDescent="0.3">
      <c r="A276">
        <v>885</v>
      </c>
      <c r="B276" s="1">
        <v>40583</v>
      </c>
      <c r="C276">
        <v>1</v>
      </c>
      <c r="D276">
        <v>0</v>
      </c>
      <c r="E276">
        <v>2</v>
      </c>
      <c r="F276">
        <v>8</v>
      </c>
      <c r="G276" t="b">
        <v>0</v>
      </c>
      <c r="H276">
        <v>3</v>
      </c>
      <c r="I276">
        <v>1</v>
      </c>
      <c r="J276">
        <v>0.1</v>
      </c>
      <c r="K276" s="6">
        <v>0.13639999999999999</v>
      </c>
      <c r="L276">
        <v>0.42</v>
      </c>
      <c r="M276">
        <v>0</v>
      </c>
      <c r="N276" s="4">
        <v>1</v>
      </c>
      <c r="O276" s="4">
        <v>198</v>
      </c>
      <c r="P276" s="4">
        <v>199</v>
      </c>
      <c r="Q276" s="9" t="str">
        <f>CHOOSE(FinalData[[#This Row],[Season]],"Spring","Summer","Fall","Winter")</f>
        <v>Spring</v>
      </c>
      <c r="R276" s="9" t="str">
        <f>CHOOSE(FinalData[[#This Row],[Weathersituation]],"Clear","Mist","Light Rain","Heavy Rain")</f>
        <v>Clear</v>
      </c>
      <c r="S276" s="9" t="str">
        <f>TEXT(FinalData[[#This Row],[Date]],"mmm")</f>
        <v>Feb</v>
      </c>
    </row>
    <row r="277" spans="1:19" x14ac:dyDescent="0.3">
      <c r="A277">
        <v>886</v>
      </c>
      <c r="B277" s="1">
        <v>40583</v>
      </c>
      <c r="C277">
        <v>1</v>
      </c>
      <c r="D277">
        <v>0</v>
      </c>
      <c r="E277">
        <v>2</v>
      </c>
      <c r="F277">
        <v>9</v>
      </c>
      <c r="G277" t="b">
        <v>0</v>
      </c>
      <c r="H277">
        <v>3</v>
      </c>
      <c r="I277">
        <v>1</v>
      </c>
      <c r="J277">
        <v>0.12</v>
      </c>
      <c r="K277" s="6">
        <v>0.13639999999999999</v>
      </c>
      <c r="L277">
        <v>0.39</v>
      </c>
      <c r="M277">
        <v>0.16420000000000001</v>
      </c>
      <c r="N277" s="4">
        <v>4</v>
      </c>
      <c r="O277" s="4">
        <v>119</v>
      </c>
      <c r="P277" s="4">
        <v>123</v>
      </c>
      <c r="Q277" s="9" t="str">
        <f>CHOOSE(FinalData[[#This Row],[Season]],"Spring","Summer","Fall","Winter")</f>
        <v>Spring</v>
      </c>
      <c r="R277" s="9" t="str">
        <f>CHOOSE(FinalData[[#This Row],[Weathersituation]],"Clear","Mist","Light Rain","Heavy Rain")</f>
        <v>Clear</v>
      </c>
      <c r="S277" s="9" t="str">
        <f>TEXT(FinalData[[#This Row],[Date]],"mmm")</f>
        <v>Feb</v>
      </c>
    </row>
    <row r="278" spans="1:19" x14ac:dyDescent="0.3">
      <c r="A278">
        <v>887</v>
      </c>
      <c r="B278" s="1">
        <v>40583</v>
      </c>
      <c r="C278">
        <v>1</v>
      </c>
      <c r="D278">
        <v>0</v>
      </c>
      <c r="E278">
        <v>2</v>
      </c>
      <c r="F278">
        <v>10</v>
      </c>
      <c r="G278" t="b">
        <v>0</v>
      </c>
      <c r="H278">
        <v>3</v>
      </c>
      <c r="I278">
        <v>1</v>
      </c>
      <c r="J278">
        <v>0.14000000000000001</v>
      </c>
      <c r="K278" s="6">
        <v>0.18179999999999999</v>
      </c>
      <c r="L278">
        <v>0.36</v>
      </c>
      <c r="M278">
        <v>0</v>
      </c>
      <c r="N278" s="4">
        <v>8</v>
      </c>
      <c r="O278" s="4">
        <v>51</v>
      </c>
      <c r="P278" s="4">
        <v>59</v>
      </c>
      <c r="Q278" s="9" t="str">
        <f>CHOOSE(FinalData[[#This Row],[Season]],"Spring","Summer","Fall","Winter")</f>
        <v>Spring</v>
      </c>
      <c r="R278" s="9" t="str">
        <f>CHOOSE(FinalData[[#This Row],[Weathersituation]],"Clear","Mist","Light Rain","Heavy Rain")</f>
        <v>Clear</v>
      </c>
      <c r="S278" s="9" t="str">
        <f>TEXT(FinalData[[#This Row],[Date]],"mmm")</f>
        <v>Feb</v>
      </c>
    </row>
    <row r="279" spans="1:19" x14ac:dyDescent="0.3">
      <c r="A279">
        <v>888</v>
      </c>
      <c r="B279" s="1">
        <v>40583</v>
      </c>
      <c r="C279">
        <v>1</v>
      </c>
      <c r="D279">
        <v>0</v>
      </c>
      <c r="E279">
        <v>2</v>
      </c>
      <c r="F279">
        <v>11</v>
      </c>
      <c r="G279" t="b">
        <v>0</v>
      </c>
      <c r="H279">
        <v>3</v>
      </c>
      <c r="I279">
        <v>2</v>
      </c>
      <c r="J279">
        <v>0.14000000000000001</v>
      </c>
      <c r="K279" s="6">
        <v>0.1515</v>
      </c>
      <c r="L279">
        <v>0.43</v>
      </c>
      <c r="M279">
        <v>0.16420000000000001</v>
      </c>
      <c r="N279" s="4">
        <v>1</v>
      </c>
      <c r="O279" s="4">
        <v>40</v>
      </c>
      <c r="P279" s="4">
        <v>41</v>
      </c>
      <c r="Q279" s="9" t="str">
        <f>CHOOSE(FinalData[[#This Row],[Season]],"Spring","Summer","Fall","Winter")</f>
        <v>Spring</v>
      </c>
      <c r="R279" s="9" t="str">
        <f>CHOOSE(FinalData[[#This Row],[Weathersituation]],"Clear","Mist","Light Rain","Heavy Rain")</f>
        <v>Mist</v>
      </c>
      <c r="S279" s="9" t="str">
        <f>TEXT(FinalData[[#This Row],[Date]],"mmm")</f>
        <v>Feb</v>
      </c>
    </row>
    <row r="280" spans="1:19" x14ac:dyDescent="0.3">
      <c r="A280">
        <v>889</v>
      </c>
      <c r="B280" s="1">
        <v>40583</v>
      </c>
      <c r="C280">
        <v>1</v>
      </c>
      <c r="D280">
        <v>0</v>
      </c>
      <c r="E280">
        <v>2</v>
      </c>
      <c r="F280">
        <v>12</v>
      </c>
      <c r="G280" t="b">
        <v>0</v>
      </c>
      <c r="H280">
        <v>3</v>
      </c>
      <c r="I280">
        <v>2</v>
      </c>
      <c r="J280">
        <v>0.18</v>
      </c>
      <c r="K280" s="6">
        <v>0.18179999999999999</v>
      </c>
      <c r="L280">
        <v>0.4</v>
      </c>
      <c r="M280">
        <v>0.22389999999999999</v>
      </c>
      <c r="N280" s="4">
        <v>4</v>
      </c>
      <c r="O280" s="4">
        <v>57</v>
      </c>
      <c r="P280" s="4">
        <v>61</v>
      </c>
      <c r="Q280" s="9" t="str">
        <f>CHOOSE(FinalData[[#This Row],[Season]],"Spring","Summer","Fall","Winter")</f>
        <v>Spring</v>
      </c>
      <c r="R280" s="9" t="str">
        <f>CHOOSE(FinalData[[#This Row],[Weathersituation]],"Clear","Mist","Light Rain","Heavy Rain")</f>
        <v>Mist</v>
      </c>
      <c r="S280" s="9" t="str">
        <f>TEXT(FinalData[[#This Row],[Date]],"mmm")</f>
        <v>Feb</v>
      </c>
    </row>
    <row r="281" spans="1:19" x14ac:dyDescent="0.3">
      <c r="A281">
        <v>890</v>
      </c>
      <c r="B281" s="1">
        <v>40583</v>
      </c>
      <c r="C281">
        <v>1</v>
      </c>
      <c r="D281">
        <v>0</v>
      </c>
      <c r="E281">
        <v>2</v>
      </c>
      <c r="F281">
        <v>13</v>
      </c>
      <c r="G281" t="b">
        <v>0</v>
      </c>
      <c r="H281">
        <v>3</v>
      </c>
      <c r="I281">
        <v>1</v>
      </c>
      <c r="J281">
        <v>0.18</v>
      </c>
      <c r="K281" s="6">
        <v>0.16669999999999999</v>
      </c>
      <c r="L281">
        <v>0.4</v>
      </c>
      <c r="M281">
        <v>0.25369999999999998</v>
      </c>
      <c r="N281" s="4">
        <v>2</v>
      </c>
      <c r="O281" s="4">
        <v>67</v>
      </c>
      <c r="P281" s="4">
        <v>69</v>
      </c>
      <c r="Q281" s="9" t="str">
        <f>CHOOSE(FinalData[[#This Row],[Season]],"Spring","Summer","Fall","Winter")</f>
        <v>Spring</v>
      </c>
      <c r="R281" s="9" t="str">
        <f>CHOOSE(FinalData[[#This Row],[Weathersituation]],"Clear","Mist","Light Rain","Heavy Rain")</f>
        <v>Clear</v>
      </c>
      <c r="S281" s="9" t="str">
        <f>TEXT(FinalData[[#This Row],[Date]],"mmm")</f>
        <v>Feb</v>
      </c>
    </row>
    <row r="282" spans="1:19" x14ac:dyDescent="0.3">
      <c r="A282">
        <v>891</v>
      </c>
      <c r="B282" s="1">
        <v>40583</v>
      </c>
      <c r="C282">
        <v>1</v>
      </c>
      <c r="D282">
        <v>0</v>
      </c>
      <c r="E282">
        <v>2</v>
      </c>
      <c r="F282">
        <v>14</v>
      </c>
      <c r="G282" t="b">
        <v>0</v>
      </c>
      <c r="H282">
        <v>3</v>
      </c>
      <c r="I282">
        <v>1</v>
      </c>
      <c r="J282">
        <v>0.2</v>
      </c>
      <c r="K282" s="6">
        <v>0.18179999999999999</v>
      </c>
      <c r="L282">
        <v>0.34</v>
      </c>
      <c r="M282">
        <v>0.29849999999999999</v>
      </c>
      <c r="N282" s="4">
        <v>2</v>
      </c>
      <c r="O282" s="4">
        <v>56</v>
      </c>
      <c r="P282" s="4">
        <v>58</v>
      </c>
      <c r="Q282" s="9" t="str">
        <f>CHOOSE(FinalData[[#This Row],[Season]],"Spring","Summer","Fall","Winter")</f>
        <v>Spring</v>
      </c>
      <c r="R282" s="9" t="str">
        <f>CHOOSE(FinalData[[#This Row],[Weathersituation]],"Clear","Mist","Light Rain","Heavy Rain")</f>
        <v>Clear</v>
      </c>
      <c r="S282" s="9" t="str">
        <f>TEXT(FinalData[[#This Row],[Date]],"mmm")</f>
        <v>Feb</v>
      </c>
    </row>
    <row r="283" spans="1:19" x14ac:dyDescent="0.3">
      <c r="A283">
        <v>892</v>
      </c>
      <c r="B283" s="1">
        <v>40583</v>
      </c>
      <c r="C283">
        <v>1</v>
      </c>
      <c r="D283">
        <v>0</v>
      </c>
      <c r="E283">
        <v>2</v>
      </c>
      <c r="F283">
        <v>15</v>
      </c>
      <c r="G283" t="b">
        <v>0</v>
      </c>
      <c r="H283">
        <v>3</v>
      </c>
      <c r="I283">
        <v>2</v>
      </c>
      <c r="J283">
        <v>0.2</v>
      </c>
      <c r="K283" s="6">
        <v>0.18179999999999999</v>
      </c>
      <c r="L283">
        <v>0.34</v>
      </c>
      <c r="M283">
        <v>0.28360000000000002</v>
      </c>
      <c r="N283" s="4">
        <v>3</v>
      </c>
      <c r="O283" s="4">
        <v>61</v>
      </c>
      <c r="P283" s="4">
        <v>64</v>
      </c>
      <c r="Q283" s="9" t="str">
        <f>CHOOSE(FinalData[[#This Row],[Season]],"Spring","Summer","Fall","Winter")</f>
        <v>Spring</v>
      </c>
      <c r="R283" s="9" t="str">
        <f>CHOOSE(FinalData[[#This Row],[Weathersituation]],"Clear","Mist","Light Rain","Heavy Rain")</f>
        <v>Mist</v>
      </c>
      <c r="S283" s="9" t="str">
        <f>TEXT(FinalData[[#This Row],[Date]],"mmm")</f>
        <v>Feb</v>
      </c>
    </row>
    <row r="284" spans="1:19" x14ac:dyDescent="0.3">
      <c r="A284">
        <v>893</v>
      </c>
      <c r="B284" s="1">
        <v>40583</v>
      </c>
      <c r="C284">
        <v>1</v>
      </c>
      <c r="D284">
        <v>0</v>
      </c>
      <c r="E284">
        <v>2</v>
      </c>
      <c r="F284">
        <v>16</v>
      </c>
      <c r="G284" t="b">
        <v>0</v>
      </c>
      <c r="H284">
        <v>3</v>
      </c>
      <c r="I284">
        <v>2</v>
      </c>
      <c r="J284">
        <v>0.2</v>
      </c>
      <c r="K284" s="6">
        <v>0.19700000000000001</v>
      </c>
      <c r="L284">
        <v>0.37</v>
      </c>
      <c r="M284">
        <v>0.25369999999999998</v>
      </c>
      <c r="N284" s="4">
        <v>7</v>
      </c>
      <c r="O284" s="4">
        <v>72</v>
      </c>
      <c r="P284" s="4">
        <v>79</v>
      </c>
      <c r="Q284" s="9" t="str">
        <f>CHOOSE(FinalData[[#This Row],[Season]],"Spring","Summer","Fall","Winter")</f>
        <v>Spring</v>
      </c>
      <c r="R284" s="9" t="str">
        <f>CHOOSE(FinalData[[#This Row],[Weathersituation]],"Clear","Mist","Light Rain","Heavy Rain")</f>
        <v>Mist</v>
      </c>
      <c r="S284" s="9" t="str">
        <f>TEXT(FinalData[[#This Row],[Date]],"mmm")</f>
        <v>Feb</v>
      </c>
    </row>
    <row r="285" spans="1:19" x14ac:dyDescent="0.3">
      <c r="A285">
        <v>894</v>
      </c>
      <c r="B285" s="1">
        <v>40583</v>
      </c>
      <c r="C285">
        <v>1</v>
      </c>
      <c r="D285">
        <v>0</v>
      </c>
      <c r="E285">
        <v>2</v>
      </c>
      <c r="F285">
        <v>17</v>
      </c>
      <c r="G285" t="b">
        <v>0</v>
      </c>
      <c r="H285">
        <v>3</v>
      </c>
      <c r="I285">
        <v>2</v>
      </c>
      <c r="J285">
        <v>0.2</v>
      </c>
      <c r="K285" s="6">
        <v>0.19700000000000001</v>
      </c>
      <c r="L285">
        <v>0.34</v>
      </c>
      <c r="M285">
        <v>0.25369999999999998</v>
      </c>
      <c r="N285" s="4">
        <v>9</v>
      </c>
      <c r="O285" s="4">
        <v>157</v>
      </c>
      <c r="P285" s="4">
        <v>166</v>
      </c>
      <c r="Q285" s="9" t="str">
        <f>CHOOSE(FinalData[[#This Row],[Season]],"Spring","Summer","Fall","Winter")</f>
        <v>Spring</v>
      </c>
      <c r="R285" s="9" t="str">
        <f>CHOOSE(FinalData[[#This Row],[Weathersituation]],"Clear","Mist","Light Rain","Heavy Rain")</f>
        <v>Mist</v>
      </c>
      <c r="S285" s="9" t="str">
        <f>TEXT(FinalData[[#This Row],[Date]],"mmm")</f>
        <v>Feb</v>
      </c>
    </row>
    <row r="286" spans="1:19" x14ac:dyDescent="0.3">
      <c r="A286">
        <v>895</v>
      </c>
      <c r="B286" s="1">
        <v>40583</v>
      </c>
      <c r="C286">
        <v>1</v>
      </c>
      <c r="D286">
        <v>0</v>
      </c>
      <c r="E286">
        <v>2</v>
      </c>
      <c r="F286">
        <v>18</v>
      </c>
      <c r="G286" t="b">
        <v>0</v>
      </c>
      <c r="H286">
        <v>3</v>
      </c>
      <c r="I286">
        <v>2</v>
      </c>
      <c r="J286">
        <v>0.18</v>
      </c>
      <c r="K286" s="6">
        <v>0.16669999999999999</v>
      </c>
      <c r="L286">
        <v>0.47</v>
      </c>
      <c r="M286">
        <v>0.29849999999999999</v>
      </c>
      <c r="N286" s="4">
        <v>2</v>
      </c>
      <c r="O286" s="4">
        <v>168</v>
      </c>
      <c r="P286" s="4">
        <v>170</v>
      </c>
      <c r="Q286" s="9" t="str">
        <f>CHOOSE(FinalData[[#This Row],[Season]],"Spring","Summer","Fall","Winter")</f>
        <v>Spring</v>
      </c>
      <c r="R286" s="9" t="str">
        <f>CHOOSE(FinalData[[#This Row],[Weathersituation]],"Clear","Mist","Light Rain","Heavy Rain")</f>
        <v>Mist</v>
      </c>
      <c r="S286" s="9" t="str">
        <f>TEXT(FinalData[[#This Row],[Date]],"mmm")</f>
        <v>Feb</v>
      </c>
    </row>
    <row r="287" spans="1:19" x14ac:dyDescent="0.3">
      <c r="A287">
        <v>896</v>
      </c>
      <c r="B287" s="1">
        <v>40583</v>
      </c>
      <c r="C287">
        <v>1</v>
      </c>
      <c r="D287">
        <v>0</v>
      </c>
      <c r="E287">
        <v>2</v>
      </c>
      <c r="F287">
        <v>19</v>
      </c>
      <c r="G287" t="b">
        <v>0</v>
      </c>
      <c r="H287">
        <v>3</v>
      </c>
      <c r="I287">
        <v>3</v>
      </c>
      <c r="J287">
        <v>0.14000000000000001</v>
      </c>
      <c r="K287" s="6">
        <v>0.1212</v>
      </c>
      <c r="L287">
        <v>0.86</v>
      </c>
      <c r="M287">
        <v>0.25369999999999998</v>
      </c>
      <c r="N287" s="4">
        <v>1</v>
      </c>
      <c r="O287" s="4">
        <v>87</v>
      </c>
      <c r="P287" s="4">
        <v>88</v>
      </c>
      <c r="Q287" s="9" t="str">
        <f>CHOOSE(FinalData[[#This Row],[Season]],"Spring","Summer","Fall","Winter")</f>
        <v>Spring</v>
      </c>
      <c r="R287" s="9" t="str">
        <f>CHOOSE(FinalData[[#This Row],[Weathersituation]],"Clear","Mist","Light Rain","Heavy Rain")</f>
        <v>Light Rain</v>
      </c>
      <c r="S287" s="9" t="str">
        <f>TEXT(FinalData[[#This Row],[Date]],"mmm")</f>
        <v>Feb</v>
      </c>
    </row>
    <row r="288" spans="1:19" x14ac:dyDescent="0.3">
      <c r="A288">
        <v>897</v>
      </c>
      <c r="B288" s="1">
        <v>40583</v>
      </c>
      <c r="C288">
        <v>1</v>
      </c>
      <c r="D288">
        <v>0</v>
      </c>
      <c r="E288">
        <v>2</v>
      </c>
      <c r="F288">
        <v>20</v>
      </c>
      <c r="G288" t="b">
        <v>0</v>
      </c>
      <c r="H288">
        <v>3</v>
      </c>
      <c r="I288">
        <v>3</v>
      </c>
      <c r="J288">
        <v>0.14000000000000001</v>
      </c>
      <c r="K288" s="6">
        <v>0.1515</v>
      </c>
      <c r="L288">
        <v>0.86</v>
      </c>
      <c r="M288">
        <v>0.16420000000000001</v>
      </c>
      <c r="N288" s="4">
        <v>0</v>
      </c>
      <c r="O288" s="4">
        <v>84</v>
      </c>
      <c r="P288" s="4">
        <v>84</v>
      </c>
      <c r="Q288" s="9" t="str">
        <f>CHOOSE(FinalData[[#This Row],[Season]],"Spring","Summer","Fall","Winter")</f>
        <v>Spring</v>
      </c>
      <c r="R288" s="9" t="str">
        <f>CHOOSE(FinalData[[#This Row],[Weathersituation]],"Clear","Mist","Light Rain","Heavy Rain")</f>
        <v>Light Rain</v>
      </c>
      <c r="S288" s="9" t="str">
        <f>TEXT(FinalData[[#This Row],[Date]],"mmm")</f>
        <v>Feb</v>
      </c>
    </row>
    <row r="289" spans="1:19" x14ac:dyDescent="0.3">
      <c r="A289">
        <v>898</v>
      </c>
      <c r="B289" s="1">
        <v>40583</v>
      </c>
      <c r="C289">
        <v>1</v>
      </c>
      <c r="D289">
        <v>0</v>
      </c>
      <c r="E289">
        <v>2</v>
      </c>
      <c r="F289">
        <v>21</v>
      </c>
      <c r="G289" t="b">
        <v>0</v>
      </c>
      <c r="H289">
        <v>3</v>
      </c>
      <c r="I289">
        <v>2</v>
      </c>
      <c r="J289">
        <v>0.14000000000000001</v>
      </c>
      <c r="K289" s="6">
        <v>0.1515</v>
      </c>
      <c r="L289">
        <v>0.86</v>
      </c>
      <c r="M289">
        <v>0.16420000000000001</v>
      </c>
      <c r="N289" s="4">
        <v>0</v>
      </c>
      <c r="O289" s="4">
        <v>83</v>
      </c>
      <c r="P289" s="4">
        <v>83</v>
      </c>
      <c r="Q289" s="9" t="str">
        <f>CHOOSE(FinalData[[#This Row],[Season]],"Spring","Summer","Fall","Winter")</f>
        <v>Spring</v>
      </c>
      <c r="R289" s="9" t="str">
        <f>CHOOSE(FinalData[[#This Row],[Weathersituation]],"Clear","Mist","Light Rain","Heavy Rain")</f>
        <v>Mist</v>
      </c>
      <c r="S289" s="9" t="str">
        <f>TEXT(FinalData[[#This Row],[Date]],"mmm")</f>
        <v>Feb</v>
      </c>
    </row>
    <row r="290" spans="1:19" x14ac:dyDescent="0.3">
      <c r="A290">
        <v>899</v>
      </c>
      <c r="B290" s="1">
        <v>40583</v>
      </c>
      <c r="C290">
        <v>1</v>
      </c>
      <c r="D290">
        <v>0</v>
      </c>
      <c r="E290">
        <v>2</v>
      </c>
      <c r="F290">
        <v>22</v>
      </c>
      <c r="G290" t="b">
        <v>0</v>
      </c>
      <c r="H290">
        <v>3</v>
      </c>
      <c r="I290">
        <v>3</v>
      </c>
      <c r="J290">
        <v>0.16</v>
      </c>
      <c r="K290" s="6">
        <v>0.16669999999999999</v>
      </c>
      <c r="L290">
        <v>0.8</v>
      </c>
      <c r="M290">
        <v>0.16420000000000001</v>
      </c>
      <c r="N290" s="4">
        <v>4</v>
      </c>
      <c r="O290" s="4">
        <v>42</v>
      </c>
      <c r="P290" s="4">
        <v>46</v>
      </c>
      <c r="Q290" s="9" t="str">
        <f>CHOOSE(FinalData[[#This Row],[Season]],"Spring","Summer","Fall","Winter")</f>
        <v>Spring</v>
      </c>
      <c r="R290" s="9" t="str">
        <f>CHOOSE(FinalData[[#This Row],[Weathersituation]],"Clear","Mist","Light Rain","Heavy Rain")</f>
        <v>Light Rain</v>
      </c>
      <c r="S290" s="9" t="str">
        <f>TEXT(FinalData[[#This Row],[Date]],"mmm")</f>
        <v>Feb</v>
      </c>
    </row>
    <row r="291" spans="1:19" x14ac:dyDescent="0.3">
      <c r="A291">
        <v>900</v>
      </c>
      <c r="B291" s="1">
        <v>40583</v>
      </c>
      <c r="C291">
        <v>1</v>
      </c>
      <c r="D291">
        <v>0</v>
      </c>
      <c r="E291">
        <v>2</v>
      </c>
      <c r="F291">
        <v>23</v>
      </c>
      <c r="G291" t="b">
        <v>0</v>
      </c>
      <c r="H291">
        <v>3</v>
      </c>
      <c r="I291">
        <v>3</v>
      </c>
      <c r="J291">
        <v>0.16</v>
      </c>
      <c r="K291" s="6">
        <v>0.1515</v>
      </c>
      <c r="L291">
        <v>0.8</v>
      </c>
      <c r="M291">
        <v>0.19400000000000001</v>
      </c>
      <c r="N291" s="4">
        <v>0</v>
      </c>
      <c r="O291" s="4">
        <v>37</v>
      </c>
      <c r="P291" s="4">
        <v>37</v>
      </c>
      <c r="Q291" s="9" t="str">
        <f>CHOOSE(FinalData[[#This Row],[Season]],"Spring","Summer","Fall","Winter")</f>
        <v>Spring</v>
      </c>
      <c r="R291" s="9" t="str">
        <f>CHOOSE(FinalData[[#This Row],[Weathersituation]],"Clear","Mist","Light Rain","Heavy Rain")</f>
        <v>Light Rain</v>
      </c>
      <c r="S291" s="9" t="str">
        <f>TEXT(FinalData[[#This Row],[Date]],"mmm")</f>
        <v>Feb</v>
      </c>
    </row>
    <row r="292" spans="1:19" x14ac:dyDescent="0.3">
      <c r="A292">
        <v>901</v>
      </c>
      <c r="B292" s="1">
        <v>40584</v>
      </c>
      <c r="C292">
        <v>1</v>
      </c>
      <c r="D292">
        <v>0</v>
      </c>
      <c r="E292">
        <v>2</v>
      </c>
      <c r="F292">
        <v>0</v>
      </c>
      <c r="G292" t="b">
        <v>0</v>
      </c>
      <c r="H292">
        <v>4</v>
      </c>
      <c r="I292">
        <v>3</v>
      </c>
      <c r="J292">
        <v>0.14000000000000001</v>
      </c>
      <c r="K292" s="6">
        <v>0.13639999999999999</v>
      </c>
      <c r="L292">
        <v>0.86</v>
      </c>
      <c r="M292">
        <v>0.19400000000000001</v>
      </c>
      <c r="N292" s="4">
        <v>0</v>
      </c>
      <c r="O292" s="4">
        <v>16</v>
      </c>
      <c r="P292" s="4">
        <v>16</v>
      </c>
      <c r="Q292" s="9" t="str">
        <f>CHOOSE(FinalData[[#This Row],[Season]],"Spring","Summer","Fall","Winter")</f>
        <v>Spring</v>
      </c>
      <c r="R292" s="9" t="str">
        <f>CHOOSE(FinalData[[#This Row],[Weathersituation]],"Clear","Mist","Light Rain","Heavy Rain")</f>
        <v>Light Rain</v>
      </c>
      <c r="S292" s="9" t="str">
        <f>TEXT(FinalData[[#This Row],[Date]],"mmm")</f>
        <v>Feb</v>
      </c>
    </row>
    <row r="293" spans="1:19" x14ac:dyDescent="0.3">
      <c r="A293">
        <v>902</v>
      </c>
      <c r="B293" s="1">
        <v>40584</v>
      </c>
      <c r="C293">
        <v>1</v>
      </c>
      <c r="D293">
        <v>0</v>
      </c>
      <c r="E293">
        <v>2</v>
      </c>
      <c r="F293">
        <v>1</v>
      </c>
      <c r="G293" t="b">
        <v>0</v>
      </c>
      <c r="H293">
        <v>4</v>
      </c>
      <c r="I293">
        <v>3</v>
      </c>
      <c r="J293">
        <v>0.14000000000000001</v>
      </c>
      <c r="K293" s="6">
        <v>0.1515</v>
      </c>
      <c r="L293">
        <v>0.8</v>
      </c>
      <c r="M293">
        <v>0.1343</v>
      </c>
      <c r="N293" s="4">
        <v>0</v>
      </c>
      <c r="O293" s="4">
        <v>7</v>
      </c>
      <c r="P293" s="4">
        <v>7</v>
      </c>
      <c r="Q293" s="9" t="str">
        <f>CHOOSE(FinalData[[#This Row],[Season]],"Spring","Summer","Fall","Winter")</f>
        <v>Spring</v>
      </c>
      <c r="R293" s="9" t="str">
        <f>CHOOSE(FinalData[[#This Row],[Weathersituation]],"Clear","Mist","Light Rain","Heavy Rain")</f>
        <v>Light Rain</v>
      </c>
      <c r="S293" s="9" t="str">
        <f>TEXT(FinalData[[#This Row],[Date]],"mmm")</f>
        <v>Feb</v>
      </c>
    </row>
    <row r="294" spans="1:19" x14ac:dyDescent="0.3">
      <c r="A294">
        <v>903</v>
      </c>
      <c r="B294" s="1">
        <v>40584</v>
      </c>
      <c r="C294">
        <v>1</v>
      </c>
      <c r="D294">
        <v>0</v>
      </c>
      <c r="E294">
        <v>2</v>
      </c>
      <c r="F294">
        <v>2</v>
      </c>
      <c r="G294" t="b">
        <v>0</v>
      </c>
      <c r="H294">
        <v>4</v>
      </c>
      <c r="I294">
        <v>3</v>
      </c>
      <c r="J294">
        <v>0.14000000000000001</v>
      </c>
      <c r="K294" s="6">
        <v>0.1515</v>
      </c>
      <c r="L294">
        <v>0.8</v>
      </c>
      <c r="M294">
        <v>0.1343</v>
      </c>
      <c r="N294" s="4">
        <v>0</v>
      </c>
      <c r="O294" s="4">
        <v>3</v>
      </c>
      <c r="P294" s="4">
        <v>3</v>
      </c>
      <c r="Q294" s="9" t="str">
        <f>CHOOSE(FinalData[[#This Row],[Season]],"Spring","Summer","Fall","Winter")</f>
        <v>Spring</v>
      </c>
      <c r="R294" s="9" t="str">
        <f>CHOOSE(FinalData[[#This Row],[Weathersituation]],"Clear","Mist","Light Rain","Heavy Rain")</f>
        <v>Light Rain</v>
      </c>
      <c r="S294" s="9" t="str">
        <f>TEXT(FinalData[[#This Row],[Date]],"mmm")</f>
        <v>Feb</v>
      </c>
    </row>
    <row r="295" spans="1:19" x14ac:dyDescent="0.3">
      <c r="A295">
        <v>904</v>
      </c>
      <c r="B295" s="1">
        <v>40584</v>
      </c>
      <c r="C295">
        <v>1</v>
      </c>
      <c r="D295">
        <v>0</v>
      </c>
      <c r="E295">
        <v>2</v>
      </c>
      <c r="F295">
        <v>4</v>
      </c>
      <c r="G295" t="b">
        <v>0</v>
      </c>
      <c r="H295">
        <v>4</v>
      </c>
      <c r="I295">
        <v>2</v>
      </c>
      <c r="J295">
        <v>0.14000000000000001</v>
      </c>
      <c r="K295" s="6">
        <v>0.13639999999999999</v>
      </c>
      <c r="L295">
        <v>0.59</v>
      </c>
      <c r="M295">
        <v>0.22389999999999999</v>
      </c>
      <c r="N295" s="4">
        <v>0</v>
      </c>
      <c r="O295" s="4">
        <v>1</v>
      </c>
      <c r="P295" s="4">
        <v>1</v>
      </c>
      <c r="Q295" s="9" t="str">
        <f>CHOOSE(FinalData[[#This Row],[Season]],"Spring","Summer","Fall","Winter")</f>
        <v>Spring</v>
      </c>
      <c r="R295" s="9" t="str">
        <f>CHOOSE(FinalData[[#This Row],[Weathersituation]],"Clear","Mist","Light Rain","Heavy Rain")</f>
        <v>Mist</v>
      </c>
      <c r="S295" s="9" t="str">
        <f>TEXT(FinalData[[#This Row],[Date]],"mmm")</f>
        <v>Feb</v>
      </c>
    </row>
    <row r="296" spans="1:19" x14ac:dyDescent="0.3">
      <c r="A296">
        <v>905</v>
      </c>
      <c r="B296" s="1">
        <v>40584</v>
      </c>
      <c r="C296">
        <v>1</v>
      </c>
      <c r="D296">
        <v>0</v>
      </c>
      <c r="E296">
        <v>2</v>
      </c>
      <c r="F296">
        <v>5</v>
      </c>
      <c r="G296" t="b">
        <v>0</v>
      </c>
      <c r="H296">
        <v>4</v>
      </c>
      <c r="I296">
        <v>2</v>
      </c>
      <c r="J296">
        <v>0.12</v>
      </c>
      <c r="K296" s="6">
        <v>0.1212</v>
      </c>
      <c r="L296">
        <v>0.5</v>
      </c>
      <c r="M296">
        <v>0.22389999999999999</v>
      </c>
      <c r="N296" s="4">
        <v>0</v>
      </c>
      <c r="O296" s="4">
        <v>6</v>
      </c>
      <c r="P296" s="4">
        <v>6</v>
      </c>
      <c r="Q296" s="9" t="str">
        <f>CHOOSE(FinalData[[#This Row],[Season]],"Spring","Summer","Fall","Winter")</f>
        <v>Spring</v>
      </c>
      <c r="R296" s="9" t="str">
        <f>CHOOSE(FinalData[[#This Row],[Weathersituation]],"Clear","Mist","Light Rain","Heavy Rain")</f>
        <v>Mist</v>
      </c>
      <c r="S296" s="9" t="str">
        <f>TEXT(FinalData[[#This Row],[Date]],"mmm")</f>
        <v>Feb</v>
      </c>
    </row>
    <row r="297" spans="1:19" x14ac:dyDescent="0.3">
      <c r="A297">
        <v>906</v>
      </c>
      <c r="B297" s="1">
        <v>40584</v>
      </c>
      <c r="C297">
        <v>1</v>
      </c>
      <c r="D297">
        <v>0</v>
      </c>
      <c r="E297">
        <v>2</v>
      </c>
      <c r="F297">
        <v>6</v>
      </c>
      <c r="G297" t="b">
        <v>0</v>
      </c>
      <c r="H297">
        <v>4</v>
      </c>
      <c r="I297">
        <v>2</v>
      </c>
      <c r="J297">
        <v>0.12</v>
      </c>
      <c r="K297" s="6">
        <v>0.1212</v>
      </c>
      <c r="L297">
        <v>0.54</v>
      </c>
      <c r="M297">
        <v>0.28360000000000002</v>
      </c>
      <c r="N297" s="4">
        <v>0</v>
      </c>
      <c r="O297" s="4">
        <v>26</v>
      </c>
      <c r="P297" s="4">
        <v>26</v>
      </c>
      <c r="Q297" s="9" t="str">
        <f>CHOOSE(FinalData[[#This Row],[Season]],"Spring","Summer","Fall","Winter")</f>
        <v>Spring</v>
      </c>
      <c r="R297" s="9" t="str">
        <f>CHOOSE(FinalData[[#This Row],[Weathersituation]],"Clear","Mist","Light Rain","Heavy Rain")</f>
        <v>Mist</v>
      </c>
      <c r="S297" s="9" t="str">
        <f>TEXT(FinalData[[#This Row],[Date]],"mmm")</f>
        <v>Feb</v>
      </c>
    </row>
    <row r="298" spans="1:19" x14ac:dyDescent="0.3">
      <c r="A298">
        <v>907</v>
      </c>
      <c r="B298" s="1">
        <v>40584</v>
      </c>
      <c r="C298">
        <v>1</v>
      </c>
      <c r="D298">
        <v>0</v>
      </c>
      <c r="E298">
        <v>2</v>
      </c>
      <c r="F298">
        <v>7</v>
      </c>
      <c r="G298" t="b">
        <v>0</v>
      </c>
      <c r="H298">
        <v>4</v>
      </c>
      <c r="I298">
        <v>1</v>
      </c>
      <c r="J298">
        <v>0.1</v>
      </c>
      <c r="K298" s="6">
        <v>7.5800000000000006E-2</v>
      </c>
      <c r="L298">
        <v>0.5</v>
      </c>
      <c r="M298">
        <v>0.41789999999999999</v>
      </c>
      <c r="N298" s="4">
        <v>0</v>
      </c>
      <c r="O298" s="4">
        <v>99</v>
      </c>
      <c r="P298" s="4">
        <v>99</v>
      </c>
      <c r="Q298" s="9" t="str">
        <f>CHOOSE(FinalData[[#This Row],[Season]],"Spring","Summer","Fall","Winter")</f>
        <v>Spring</v>
      </c>
      <c r="R298" s="9" t="str">
        <f>CHOOSE(FinalData[[#This Row],[Weathersituation]],"Clear","Mist","Light Rain","Heavy Rain")</f>
        <v>Clear</v>
      </c>
      <c r="S298" s="9" t="str">
        <f>TEXT(FinalData[[#This Row],[Date]],"mmm")</f>
        <v>Feb</v>
      </c>
    </row>
    <row r="299" spans="1:19" x14ac:dyDescent="0.3">
      <c r="A299">
        <v>908</v>
      </c>
      <c r="B299" s="1">
        <v>40584</v>
      </c>
      <c r="C299">
        <v>1</v>
      </c>
      <c r="D299">
        <v>0</v>
      </c>
      <c r="E299">
        <v>2</v>
      </c>
      <c r="F299">
        <v>8</v>
      </c>
      <c r="G299" t="b">
        <v>0</v>
      </c>
      <c r="H299">
        <v>4</v>
      </c>
      <c r="I299">
        <v>1</v>
      </c>
      <c r="J299">
        <v>0.1</v>
      </c>
      <c r="K299" s="6">
        <v>7.5800000000000006E-2</v>
      </c>
      <c r="L299">
        <v>0.49</v>
      </c>
      <c r="M299">
        <v>0.32840000000000003</v>
      </c>
      <c r="N299" s="4">
        <v>5</v>
      </c>
      <c r="O299" s="4">
        <v>173</v>
      </c>
      <c r="P299" s="4">
        <v>178</v>
      </c>
      <c r="Q299" s="9" t="str">
        <f>CHOOSE(FinalData[[#This Row],[Season]],"Spring","Summer","Fall","Winter")</f>
        <v>Spring</v>
      </c>
      <c r="R299" s="9" t="str">
        <f>CHOOSE(FinalData[[#This Row],[Weathersituation]],"Clear","Mist","Light Rain","Heavy Rain")</f>
        <v>Clear</v>
      </c>
      <c r="S299" s="9" t="str">
        <f>TEXT(FinalData[[#This Row],[Date]],"mmm")</f>
        <v>Feb</v>
      </c>
    </row>
    <row r="300" spans="1:19" x14ac:dyDescent="0.3">
      <c r="A300">
        <v>909</v>
      </c>
      <c r="B300" s="1">
        <v>40584</v>
      </c>
      <c r="C300">
        <v>1</v>
      </c>
      <c r="D300">
        <v>0</v>
      </c>
      <c r="E300">
        <v>2</v>
      </c>
      <c r="F300">
        <v>9</v>
      </c>
      <c r="G300" t="b">
        <v>0</v>
      </c>
      <c r="H300">
        <v>4</v>
      </c>
      <c r="I300">
        <v>1</v>
      </c>
      <c r="J300">
        <v>0.12</v>
      </c>
      <c r="K300" s="6">
        <v>0.1061</v>
      </c>
      <c r="L300">
        <v>0.42</v>
      </c>
      <c r="M300">
        <v>0.35820000000000002</v>
      </c>
      <c r="N300" s="4">
        <v>1</v>
      </c>
      <c r="O300" s="4">
        <v>121</v>
      </c>
      <c r="P300" s="4">
        <v>122</v>
      </c>
      <c r="Q300" s="9" t="str">
        <f>CHOOSE(FinalData[[#This Row],[Season]],"Spring","Summer","Fall","Winter")</f>
        <v>Spring</v>
      </c>
      <c r="R300" s="9" t="str">
        <f>CHOOSE(FinalData[[#This Row],[Weathersituation]],"Clear","Mist","Light Rain","Heavy Rain")</f>
        <v>Clear</v>
      </c>
      <c r="S300" s="9" t="str">
        <f>TEXT(FinalData[[#This Row],[Date]],"mmm")</f>
        <v>Feb</v>
      </c>
    </row>
    <row r="301" spans="1:19" x14ac:dyDescent="0.3">
      <c r="A301">
        <v>910</v>
      </c>
      <c r="B301" s="1">
        <v>40584</v>
      </c>
      <c r="C301">
        <v>1</v>
      </c>
      <c r="D301">
        <v>0</v>
      </c>
      <c r="E301">
        <v>2</v>
      </c>
      <c r="F301">
        <v>10</v>
      </c>
      <c r="G301" t="b">
        <v>0</v>
      </c>
      <c r="H301">
        <v>4</v>
      </c>
      <c r="I301">
        <v>1</v>
      </c>
      <c r="J301">
        <v>0.12</v>
      </c>
      <c r="K301" s="6">
        <v>0.1061</v>
      </c>
      <c r="L301">
        <v>0.42</v>
      </c>
      <c r="M301">
        <v>0.29849999999999999</v>
      </c>
      <c r="N301" s="4">
        <v>1</v>
      </c>
      <c r="O301" s="4">
        <v>34</v>
      </c>
      <c r="P301" s="4">
        <v>35</v>
      </c>
      <c r="Q301" s="9" t="str">
        <f>CHOOSE(FinalData[[#This Row],[Season]],"Spring","Summer","Fall","Winter")</f>
        <v>Spring</v>
      </c>
      <c r="R301" s="9" t="str">
        <f>CHOOSE(FinalData[[#This Row],[Weathersituation]],"Clear","Mist","Light Rain","Heavy Rain")</f>
        <v>Clear</v>
      </c>
      <c r="S301" s="9" t="str">
        <f>TEXT(FinalData[[#This Row],[Date]],"mmm")</f>
        <v>Feb</v>
      </c>
    </row>
    <row r="302" spans="1:19" x14ac:dyDescent="0.3">
      <c r="A302">
        <v>911</v>
      </c>
      <c r="B302" s="1">
        <v>40584</v>
      </c>
      <c r="C302">
        <v>1</v>
      </c>
      <c r="D302">
        <v>0</v>
      </c>
      <c r="E302">
        <v>2</v>
      </c>
      <c r="F302">
        <v>11</v>
      </c>
      <c r="G302" t="b">
        <v>0</v>
      </c>
      <c r="H302">
        <v>4</v>
      </c>
      <c r="I302">
        <v>1</v>
      </c>
      <c r="J302">
        <v>0.14000000000000001</v>
      </c>
      <c r="K302" s="6">
        <v>0.1212</v>
      </c>
      <c r="L302">
        <v>0.39</v>
      </c>
      <c r="M302">
        <v>0.35820000000000002</v>
      </c>
      <c r="N302" s="4">
        <v>1</v>
      </c>
      <c r="O302" s="4">
        <v>44</v>
      </c>
      <c r="P302" s="4">
        <v>45</v>
      </c>
      <c r="Q302" s="9" t="str">
        <f>CHOOSE(FinalData[[#This Row],[Season]],"Spring","Summer","Fall","Winter")</f>
        <v>Spring</v>
      </c>
      <c r="R302" s="9" t="str">
        <f>CHOOSE(FinalData[[#This Row],[Weathersituation]],"Clear","Mist","Light Rain","Heavy Rain")</f>
        <v>Clear</v>
      </c>
      <c r="S302" s="9" t="str">
        <f>TEXT(FinalData[[#This Row],[Date]],"mmm")</f>
        <v>Feb</v>
      </c>
    </row>
    <row r="303" spans="1:19" x14ac:dyDescent="0.3">
      <c r="A303">
        <v>912</v>
      </c>
      <c r="B303" s="1">
        <v>40584</v>
      </c>
      <c r="C303">
        <v>1</v>
      </c>
      <c r="D303">
        <v>0</v>
      </c>
      <c r="E303">
        <v>2</v>
      </c>
      <c r="F303">
        <v>12</v>
      </c>
      <c r="G303" t="b">
        <v>0</v>
      </c>
      <c r="H303">
        <v>4</v>
      </c>
      <c r="I303">
        <v>1</v>
      </c>
      <c r="J303">
        <v>0.16</v>
      </c>
      <c r="K303" s="6">
        <v>0.13639999999999999</v>
      </c>
      <c r="L303">
        <v>0.34</v>
      </c>
      <c r="M303">
        <v>0.3881</v>
      </c>
      <c r="N303" s="4">
        <v>4</v>
      </c>
      <c r="O303" s="4">
        <v>65</v>
      </c>
      <c r="P303" s="4">
        <v>69</v>
      </c>
      <c r="Q303" s="9" t="str">
        <f>CHOOSE(FinalData[[#This Row],[Season]],"Spring","Summer","Fall","Winter")</f>
        <v>Spring</v>
      </c>
      <c r="R303" s="9" t="str">
        <f>CHOOSE(FinalData[[#This Row],[Weathersituation]],"Clear","Mist","Light Rain","Heavy Rain")</f>
        <v>Clear</v>
      </c>
      <c r="S303" s="9" t="str">
        <f>TEXT(FinalData[[#This Row],[Date]],"mmm")</f>
        <v>Feb</v>
      </c>
    </row>
    <row r="304" spans="1:19" x14ac:dyDescent="0.3">
      <c r="A304">
        <v>913</v>
      </c>
      <c r="B304" s="1">
        <v>40584</v>
      </c>
      <c r="C304">
        <v>1</v>
      </c>
      <c r="D304">
        <v>0</v>
      </c>
      <c r="E304">
        <v>2</v>
      </c>
      <c r="F304">
        <v>13</v>
      </c>
      <c r="G304" t="b">
        <v>0</v>
      </c>
      <c r="H304">
        <v>4</v>
      </c>
      <c r="I304">
        <v>1</v>
      </c>
      <c r="J304">
        <v>0.18</v>
      </c>
      <c r="K304" s="6">
        <v>0.16669999999999999</v>
      </c>
      <c r="L304">
        <v>0.28999999999999998</v>
      </c>
      <c r="M304">
        <v>0.29849999999999999</v>
      </c>
      <c r="N304" s="4">
        <v>3</v>
      </c>
      <c r="O304" s="4">
        <v>59</v>
      </c>
      <c r="P304" s="4">
        <v>62</v>
      </c>
      <c r="Q304" s="9" t="str">
        <f>CHOOSE(FinalData[[#This Row],[Season]],"Spring","Summer","Fall","Winter")</f>
        <v>Spring</v>
      </c>
      <c r="R304" s="9" t="str">
        <f>CHOOSE(FinalData[[#This Row],[Weathersituation]],"Clear","Mist","Light Rain","Heavy Rain")</f>
        <v>Clear</v>
      </c>
      <c r="S304" s="9" t="str">
        <f>TEXT(FinalData[[#This Row],[Date]],"mmm")</f>
        <v>Feb</v>
      </c>
    </row>
    <row r="305" spans="1:19" x14ac:dyDescent="0.3">
      <c r="A305">
        <v>914</v>
      </c>
      <c r="B305" s="1">
        <v>40584</v>
      </c>
      <c r="C305">
        <v>1</v>
      </c>
      <c r="D305">
        <v>0</v>
      </c>
      <c r="E305">
        <v>2</v>
      </c>
      <c r="F305">
        <v>14</v>
      </c>
      <c r="G305" t="b">
        <v>0</v>
      </c>
      <c r="H305">
        <v>4</v>
      </c>
      <c r="I305">
        <v>1</v>
      </c>
      <c r="J305">
        <v>0.2</v>
      </c>
      <c r="K305" s="6">
        <v>0.18179999999999999</v>
      </c>
      <c r="L305">
        <v>0.27</v>
      </c>
      <c r="M305">
        <v>0.28360000000000002</v>
      </c>
      <c r="N305" s="4">
        <v>6</v>
      </c>
      <c r="O305" s="4">
        <v>42</v>
      </c>
      <c r="P305" s="4">
        <v>48</v>
      </c>
      <c r="Q305" s="9" t="str">
        <f>CHOOSE(FinalData[[#This Row],[Season]],"Spring","Summer","Fall","Winter")</f>
        <v>Spring</v>
      </c>
      <c r="R305" s="9" t="str">
        <f>CHOOSE(FinalData[[#This Row],[Weathersituation]],"Clear","Mist","Light Rain","Heavy Rain")</f>
        <v>Clear</v>
      </c>
      <c r="S305" s="9" t="str">
        <f>TEXT(FinalData[[#This Row],[Date]],"mmm")</f>
        <v>Feb</v>
      </c>
    </row>
    <row r="306" spans="1:19" x14ac:dyDescent="0.3">
      <c r="A306">
        <v>915</v>
      </c>
      <c r="B306" s="1">
        <v>40584</v>
      </c>
      <c r="C306">
        <v>1</v>
      </c>
      <c r="D306">
        <v>0</v>
      </c>
      <c r="E306">
        <v>2</v>
      </c>
      <c r="F306">
        <v>15</v>
      </c>
      <c r="G306" t="b">
        <v>0</v>
      </c>
      <c r="H306">
        <v>4</v>
      </c>
      <c r="I306">
        <v>1</v>
      </c>
      <c r="J306">
        <v>0.2</v>
      </c>
      <c r="K306" s="6">
        <v>0.19700000000000001</v>
      </c>
      <c r="L306">
        <v>0.25</v>
      </c>
      <c r="M306">
        <v>0.25369999999999998</v>
      </c>
      <c r="N306" s="4">
        <v>0</v>
      </c>
      <c r="O306" s="4">
        <v>50</v>
      </c>
      <c r="P306" s="4">
        <v>50</v>
      </c>
      <c r="Q306" s="9" t="str">
        <f>CHOOSE(FinalData[[#This Row],[Season]],"Spring","Summer","Fall","Winter")</f>
        <v>Spring</v>
      </c>
      <c r="R306" s="9" t="str">
        <f>CHOOSE(FinalData[[#This Row],[Weathersituation]],"Clear","Mist","Light Rain","Heavy Rain")</f>
        <v>Clear</v>
      </c>
      <c r="S306" s="9" t="str">
        <f>TEXT(FinalData[[#This Row],[Date]],"mmm")</f>
        <v>Feb</v>
      </c>
    </row>
    <row r="307" spans="1:19" x14ac:dyDescent="0.3">
      <c r="A307">
        <v>916</v>
      </c>
      <c r="B307" s="1">
        <v>40584</v>
      </c>
      <c r="C307">
        <v>1</v>
      </c>
      <c r="D307">
        <v>0</v>
      </c>
      <c r="E307">
        <v>2</v>
      </c>
      <c r="F307">
        <v>16</v>
      </c>
      <c r="G307" t="b">
        <v>0</v>
      </c>
      <c r="H307">
        <v>4</v>
      </c>
      <c r="I307">
        <v>1</v>
      </c>
      <c r="J307">
        <v>0.2</v>
      </c>
      <c r="K307" s="6">
        <v>0.18179999999999999</v>
      </c>
      <c r="L307">
        <v>0.27</v>
      </c>
      <c r="M307">
        <v>0.29849999999999999</v>
      </c>
      <c r="N307" s="4">
        <v>4</v>
      </c>
      <c r="O307" s="4">
        <v>76</v>
      </c>
      <c r="P307" s="4">
        <v>80</v>
      </c>
      <c r="Q307" s="9" t="str">
        <f>CHOOSE(FinalData[[#This Row],[Season]],"Spring","Summer","Fall","Winter")</f>
        <v>Spring</v>
      </c>
      <c r="R307" s="9" t="str">
        <f>CHOOSE(FinalData[[#This Row],[Weathersituation]],"Clear","Mist","Light Rain","Heavy Rain")</f>
        <v>Clear</v>
      </c>
      <c r="S307" s="9" t="str">
        <f>TEXT(FinalData[[#This Row],[Date]],"mmm")</f>
        <v>Feb</v>
      </c>
    </row>
    <row r="308" spans="1:19" x14ac:dyDescent="0.3">
      <c r="A308">
        <v>917</v>
      </c>
      <c r="B308" s="1">
        <v>40584</v>
      </c>
      <c r="C308">
        <v>1</v>
      </c>
      <c r="D308">
        <v>0</v>
      </c>
      <c r="E308">
        <v>2</v>
      </c>
      <c r="F308">
        <v>17</v>
      </c>
      <c r="G308" t="b">
        <v>0</v>
      </c>
      <c r="H308">
        <v>4</v>
      </c>
      <c r="I308">
        <v>1</v>
      </c>
      <c r="J308">
        <v>0.18</v>
      </c>
      <c r="K308" s="6">
        <v>0.18179999999999999</v>
      </c>
      <c r="L308">
        <v>0.26</v>
      </c>
      <c r="M308">
        <v>0.19400000000000001</v>
      </c>
      <c r="N308" s="4">
        <v>6</v>
      </c>
      <c r="O308" s="4">
        <v>159</v>
      </c>
      <c r="P308" s="4">
        <v>165</v>
      </c>
      <c r="Q308" s="9" t="str">
        <f>CHOOSE(FinalData[[#This Row],[Season]],"Spring","Summer","Fall","Winter")</f>
        <v>Spring</v>
      </c>
      <c r="R308" s="9" t="str">
        <f>CHOOSE(FinalData[[#This Row],[Weathersituation]],"Clear","Mist","Light Rain","Heavy Rain")</f>
        <v>Clear</v>
      </c>
      <c r="S308" s="9" t="str">
        <f>TEXT(FinalData[[#This Row],[Date]],"mmm")</f>
        <v>Feb</v>
      </c>
    </row>
    <row r="309" spans="1:19" x14ac:dyDescent="0.3">
      <c r="A309">
        <v>918</v>
      </c>
      <c r="B309" s="1">
        <v>40584</v>
      </c>
      <c r="C309">
        <v>1</v>
      </c>
      <c r="D309">
        <v>0</v>
      </c>
      <c r="E309">
        <v>2</v>
      </c>
      <c r="F309">
        <v>18</v>
      </c>
      <c r="G309" t="b">
        <v>0</v>
      </c>
      <c r="H309">
        <v>4</v>
      </c>
      <c r="I309">
        <v>1</v>
      </c>
      <c r="J309">
        <v>0.16</v>
      </c>
      <c r="K309" s="6">
        <v>0.18179999999999999</v>
      </c>
      <c r="L309">
        <v>0.28000000000000003</v>
      </c>
      <c r="M309">
        <v>0.1343</v>
      </c>
      <c r="N309" s="4">
        <v>3</v>
      </c>
      <c r="O309" s="4">
        <v>157</v>
      </c>
      <c r="P309" s="4">
        <v>160</v>
      </c>
      <c r="Q309" s="9" t="str">
        <f>CHOOSE(FinalData[[#This Row],[Season]],"Spring","Summer","Fall","Winter")</f>
        <v>Spring</v>
      </c>
      <c r="R309" s="9" t="str">
        <f>CHOOSE(FinalData[[#This Row],[Weathersituation]],"Clear","Mist","Light Rain","Heavy Rain")</f>
        <v>Clear</v>
      </c>
      <c r="S309" s="9" t="str">
        <f>TEXT(FinalData[[#This Row],[Date]],"mmm")</f>
        <v>Feb</v>
      </c>
    </row>
    <row r="310" spans="1:19" x14ac:dyDescent="0.3">
      <c r="A310">
        <v>919</v>
      </c>
      <c r="B310" s="1">
        <v>40584</v>
      </c>
      <c r="C310">
        <v>1</v>
      </c>
      <c r="D310">
        <v>0</v>
      </c>
      <c r="E310">
        <v>2</v>
      </c>
      <c r="F310">
        <v>19</v>
      </c>
      <c r="G310" t="b">
        <v>0</v>
      </c>
      <c r="H310">
        <v>4</v>
      </c>
      <c r="I310">
        <v>1</v>
      </c>
      <c r="J310">
        <v>0.14000000000000001</v>
      </c>
      <c r="K310" s="6">
        <v>0.16669999999999999</v>
      </c>
      <c r="L310">
        <v>0.28000000000000003</v>
      </c>
      <c r="M310">
        <v>0.1045</v>
      </c>
      <c r="N310" s="4">
        <v>2</v>
      </c>
      <c r="O310" s="4">
        <v>110</v>
      </c>
      <c r="P310" s="4">
        <v>112</v>
      </c>
      <c r="Q310" s="9" t="str">
        <f>CHOOSE(FinalData[[#This Row],[Season]],"Spring","Summer","Fall","Winter")</f>
        <v>Spring</v>
      </c>
      <c r="R310" s="9" t="str">
        <f>CHOOSE(FinalData[[#This Row],[Weathersituation]],"Clear","Mist","Light Rain","Heavy Rain")</f>
        <v>Clear</v>
      </c>
      <c r="S310" s="9" t="str">
        <f>TEXT(FinalData[[#This Row],[Date]],"mmm")</f>
        <v>Feb</v>
      </c>
    </row>
    <row r="311" spans="1:19" x14ac:dyDescent="0.3">
      <c r="A311">
        <v>920</v>
      </c>
      <c r="B311" s="1">
        <v>40584</v>
      </c>
      <c r="C311">
        <v>1</v>
      </c>
      <c r="D311">
        <v>0</v>
      </c>
      <c r="E311">
        <v>2</v>
      </c>
      <c r="F311">
        <v>20</v>
      </c>
      <c r="G311" t="b">
        <v>0</v>
      </c>
      <c r="H311">
        <v>4</v>
      </c>
      <c r="I311">
        <v>1</v>
      </c>
      <c r="J311">
        <v>0.14000000000000001</v>
      </c>
      <c r="K311" s="6">
        <v>0.18179999999999999</v>
      </c>
      <c r="L311">
        <v>0.31</v>
      </c>
      <c r="M311">
        <v>8.9599999999999999E-2</v>
      </c>
      <c r="N311" s="4">
        <v>4</v>
      </c>
      <c r="O311" s="4">
        <v>93</v>
      </c>
      <c r="P311" s="4">
        <v>97</v>
      </c>
      <c r="Q311" s="9" t="str">
        <f>CHOOSE(FinalData[[#This Row],[Season]],"Spring","Summer","Fall","Winter")</f>
        <v>Spring</v>
      </c>
      <c r="R311" s="9" t="str">
        <f>CHOOSE(FinalData[[#This Row],[Weathersituation]],"Clear","Mist","Light Rain","Heavy Rain")</f>
        <v>Clear</v>
      </c>
      <c r="S311" s="9" t="str">
        <f>TEXT(FinalData[[#This Row],[Date]],"mmm")</f>
        <v>Feb</v>
      </c>
    </row>
    <row r="312" spans="1:19" x14ac:dyDescent="0.3">
      <c r="A312">
        <v>921</v>
      </c>
      <c r="B312" s="1">
        <v>40584</v>
      </c>
      <c r="C312">
        <v>1</v>
      </c>
      <c r="D312">
        <v>0</v>
      </c>
      <c r="E312">
        <v>2</v>
      </c>
      <c r="F312">
        <v>21</v>
      </c>
      <c r="G312" t="b">
        <v>0</v>
      </c>
      <c r="H312">
        <v>4</v>
      </c>
      <c r="I312">
        <v>1</v>
      </c>
      <c r="J312">
        <v>0.14000000000000001</v>
      </c>
      <c r="K312" s="6">
        <v>0.21210000000000001</v>
      </c>
      <c r="L312">
        <v>0.39</v>
      </c>
      <c r="M312">
        <v>0</v>
      </c>
      <c r="N312" s="4">
        <v>2</v>
      </c>
      <c r="O312" s="4">
        <v>70</v>
      </c>
      <c r="P312" s="4">
        <v>72</v>
      </c>
      <c r="Q312" s="9" t="str">
        <f>CHOOSE(FinalData[[#This Row],[Season]],"Spring","Summer","Fall","Winter")</f>
        <v>Spring</v>
      </c>
      <c r="R312" s="9" t="str">
        <f>CHOOSE(FinalData[[#This Row],[Weathersituation]],"Clear","Mist","Light Rain","Heavy Rain")</f>
        <v>Clear</v>
      </c>
      <c r="S312" s="9" t="str">
        <f>TEXT(FinalData[[#This Row],[Date]],"mmm")</f>
        <v>Feb</v>
      </c>
    </row>
    <row r="313" spans="1:19" x14ac:dyDescent="0.3">
      <c r="A313">
        <v>922</v>
      </c>
      <c r="B313" s="1">
        <v>40584</v>
      </c>
      <c r="C313">
        <v>1</v>
      </c>
      <c r="D313">
        <v>0</v>
      </c>
      <c r="E313">
        <v>2</v>
      </c>
      <c r="F313">
        <v>22</v>
      </c>
      <c r="G313" t="b">
        <v>0</v>
      </c>
      <c r="H313">
        <v>4</v>
      </c>
      <c r="I313">
        <v>1</v>
      </c>
      <c r="J313">
        <v>0.12</v>
      </c>
      <c r="K313" s="6">
        <v>0.19700000000000001</v>
      </c>
      <c r="L313">
        <v>0.39</v>
      </c>
      <c r="M313">
        <v>0</v>
      </c>
      <c r="N313" s="4">
        <v>4</v>
      </c>
      <c r="O313" s="4">
        <v>47</v>
      </c>
      <c r="P313" s="4">
        <v>51</v>
      </c>
      <c r="Q313" s="9" t="str">
        <f>CHOOSE(FinalData[[#This Row],[Season]],"Spring","Summer","Fall","Winter")</f>
        <v>Spring</v>
      </c>
      <c r="R313" s="9" t="str">
        <f>CHOOSE(FinalData[[#This Row],[Weathersituation]],"Clear","Mist","Light Rain","Heavy Rain")</f>
        <v>Clear</v>
      </c>
      <c r="S313" s="9" t="str">
        <f>TEXT(FinalData[[#This Row],[Date]],"mmm")</f>
        <v>Feb</v>
      </c>
    </row>
    <row r="314" spans="1:19" x14ac:dyDescent="0.3">
      <c r="A314">
        <v>923</v>
      </c>
      <c r="B314" s="1">
        <v>40584</v>
      </c>
      <c r="C314">
        <v>1</v>
      </c>
      <c r="D314">
        <v>0</v>
      </c>
      <c r="E314">
        <v>2</v>
      </c>
      <c r="F314">
        <v>23</v>
      </c>
      <c r="G314" t="b">
        <v>0</v>
      </c>
      <c r="H314">
        <v>4</v>
      </c>
      <c r="I314">
        <v>1</v>
      </c>
      <c r="J314">
        <v>0.12</v>
      </c>
      <c r="K314" s="6">
        <v>0.1515</v>
      </c>
      <c r="L314">
        <v>0.42</v>
      </c>
      <c r="M314">
        <v>0.1045</v>
      </c>
      <c r="N314" s="4">
        <v>1</v>
      </c>
      <c r="O314" s="4">
        <v>33</v>
      </c>
      <c r="P314" s="4">
        <v>34</v>
      </c>
      <c r="Q314" s="9" t="str">
        <f>CHOOSE(FinalData[[#This Row],[Season]],"Spring","Summer","Fall","Winter")</f>
        <v>Spring</v>
      </c>
      <c r="R314" s="9" t="str">
        <f>CHOOSE(FinalData[[#This Row],[Weathersituation]],"Clear","Mist","Light Rain","Heavy Rain")</f>
        <v>Clear</v>
      </c>
      <c r="S314" s="9" t="str">
        <f>TEXT(FinalData[[#This Row],[Date]],"mmm")</f>
        <v>Feb</v>
      </c>
    </row>
    <row r="315" spans="1:19" x14ac:dyDescent="0.3">
      <c r="A315">
        <v>924</v>
      </c>
      <c r="B315" s="1">
        <v>40585</v>
      </c>
      <c r="C315">
        <v>1</v>
      </c>
      <c r="D315">
        <v>0</v>
      </c>
      <c r="E315">
        <v>2</v>
      </c>
      <c r="F315">
        <v>0</v>
      </c>
      <c r="G315" t="b">
        <v>0</v>
      </c>
      <c r="H315">
        <v>5</v>
      </c>
      <c r="I315">
        <v>1</v>
      </c>
      <c r="J315">
        <v>0.1</v>
      </c>
      <c r="K315" s="6">
        <v>0.13639999999999999</v>
      </c>
      <c r="L315">
        <v>0.49</v>
      </c>
      <c r="M315">
        <v>0.1045</v>
      </c>
      <c r="N315" s="4">
        <v>2</v>
      </c>
      <c r="O315" s="4">
        <v>12</v>
      </c>
      <c r="P315" s="4">
        <v>14</v>
      </c>
      <c r="Q315" s="9" t="str">
        <f>CHOOSE(FinalData[[#This Row],[Season]],"Spring","Summer","Fall","Winter")</f>
        <v>Spring</v>
      </c>
      <c r="R315" s="9" t="str">
        <f>CHOOSE(FinalData[[#This Row],[Weathersituation]],"Clear","Mist","Light Rain","Heavy Rain")</f>
        <v>Clear</v>
      </c>
      <c r="S315" s="9" t="str">
        <f>TEXT(FinalData[[#This Row],[Date]],"mmm")</f>
        <v>Feb</v>
      </c>
    </row>
    <row r="316" spans="1:19" x14ac:dyDescent="0.3">
      <c r="A316">
        <v>925</v>
      </c>
      <c r="B316" s="1">
        <v>40585</v>
      </c>
      <c r="C316">
        <v>1</v>
      </c>
      <c r="D316">
        <v>0</v>
      </c>
      <c r="E316">
        <v>2</v>
      </c>
      <c r="F316">
        <v>1</v>
      </c>
      <c r="G316" t="b">
        <v>0</v>
      </c>
      <c r="H316">
        <v>5</v>
      </c>
      <c r="I316">
        <v>1</v>
      </c>
      <c r="J316">
        <v>0.1</v>
      </c>
      <c r="K316" s="6">
        <v>0.13639999999999999</v>
      </c>
      <c r="L316">
        <v>0.54</v>
      </c>
      <c r="M316">
        <v>8.9599999999999999E-2</v>
      </c>
      <c r="N316" s="4">
        <v>1</v>
      </c>
      <c r="O316" s="4">
        <v>6</v>
      </c>
      <c r="P316" s="4">
        <v>7</v>
      </c>
      <c r="Q316" s="9" t="str">
        <f>CHOOSE(FinalData[[#This Row],[Season]],"Spring","Summer","Fall","Winter")</f>
        <v>Spring</v>
      </c>
      <c r="R316" s="9" t="str">
        <f>CHOOSE(FinalData[[#This Row],[Weathersituation]],"Clear","Mist","Light Rain","Heavy Rain")</f>
        <v>Clear</v>
      </c>
      <c r="S316" s="9" t="str">
        <f>TEXT(FinalData[[#This Row],[Date]],"mmm")</f>
        <v>Feb</v>
      </c>
    </row>
    <row r="317" spans="1:19" x14ac:dyDescent="0.3">
      <c r="A317">
        <v>926</v>
      </c>
      <c r="B317" s="1">
        <v>40585</v>
      </c>
      <c r="C317">
        <v>1</v>
      </c>
      <c r="D317">
        <v>0</v>
      </c>
      <c r="E317">
        <v>2</v>
      </c>
      <c r="F317">
        <v>2</v>
      </c>
      <c r="G317" t="b">
        <v>0</v>
      </c>
      <c r="H317">
        <v>5</v>
      </c>
      <c r="I317">
        <v>1</v>
      </c>
      <c r="J317">
        <v>0.1</v>
      </c>
      <c r="K317" s="6">
        <v>0.13639999999999999</v>
      </c>
      <c r="L317">
        <v>0.54</v>
      </c>
      <c r="M317">
        <v>8.9599999999999999E-2</v>
      </c>
      <c r="N317" s="4">
        <v>0</v>
      </c>
      <c r="O317" s="4">
        <v>3</v>
      </c>
      <c r="P317" s="4">
        <v>3</v>
      </c>
      <c r="Q317" s="9" t="str">
        <f>CHOOSE(FinalData[[#This Row],[Season]],"Spring","Summer","Fall","Winter")</f>
        <v>Spring</v>
      </c>
      <c r="R317" s="9" t="str">
        <f>CHOOSE(FinalData[[#This Row],[Weathersituation]],"Clear","Mist","Light Rain","Heavy Rain")</f>
        <v>Clear</v>
      </c>
      <c r="S317" s="9" t="str">
        <f>TEXT(FinalData[[#This Row],[Date]],"mmm")</f>
        <v>Feb</v>
      </c>
    </row>
    <row r="318" spans="1:19" x14ac:dyDescent="0.3">
      <c r="A318">
        <v>927</v>
      </c>
      <c r="B318" s="1">
        <v>40585</v>
      </c>
      <c r="C318">
        <v>1</v>
      </c>
      <c r="D318">
        <v>0</v>
      </c>
      <c r="E318">
        <v>2</v>
      </c>
      <c r="F318">
        <v>5</v>
      </c>
      <c r="G318" t="b">
        <v>0</v>
      </c>
      <c r="H318">
        <v>5</v>
      </c>
      <c r="I318">
        <v>1</v>
      </c>
      <c r="J318">
        <v>0.08</v>
      </c>
      <c r="K318" s="6">
        <v>0.1212</v>
      </c>
      <c r="L318">
        <v>0.63</v>
      </c>
      <c r="M318">
        <v>8.9599999999999999E-2</v>
      </c>
      <c r="N318" s="4">
        <v>0</v>
      </c>
      <c r="O318" s="4">
        <v>4</v>
      </c>
      <c r="P318" s="4">
        <v>4</v>
      </c>
      <c r="Q318" s="9" t="str">
        <f>CHOOSE(FinalData[[#This Row],[Season]],"Spring","Summer","Fall","Winter")</f>
        <v>Spring</v>
      </c>
      <c r="R318" s="9" t="str">
        <f>CHOOSE(FinalData[[#This Row],[Weathersituation]],"Clear","Mist","Light Rain","Heavy Rain")</f>
        <v>Clear</v>
      </c>
      <c r="S318" s="9" t="str">
        <f>TEXT(FinalData[[#This Row],[Date]],"mmm")</f>
        <v>Feb</v>
      </c>
    </row>
    <row r="319" spans="1:19" x14ac:dyDescent="0.3">
      <c r="A319">
        <v>928</v>
      </c>
      <c r="B319" s="1">
        <v>40585</v>
      </c>
      <c r="C319">
        <v>1</v>
      </c>
      <c r="D319">
        <v>0</v>
      </c>
      <c r="E319">
        <v>2</v>
      </c>
      <c r="F319">
        <v>6</v>
      </c>
      <c r="G319" t="b">
        <v>0</v>
      </c>
      <c r="H319">
        <v>5</v>
      </c>
      <c r="I319">
        <v>1</v>
      </c>
      <c r="J319">
        <v>0.1</v>
      </c>
      <c r="K319" s="6">
        <v>0.18179999999999999</v>
      </c>
      <c r="L319">
        <v>0.68</v>
      </c>
      <c r="M319">
        <v>0</v>
      </c>
      <c r="N319" s="4">
        <v>1</v>
      </c>
      <c r="O319" s="4">
        <v>23</v>
      </c>
      <c r="P319" s="4">
        <v>24</v>
      </c>
      <c r="Q319" s="9" t="str">
        <f>CHOOSE(FinalData[[#This Row],[Season]],"Spring","Summer","Fall","Winter")</f>
        <v>Spring</v>
      </c>
      <c r="R319" s="9" t="str">
        <f>CHOOSE(FinalData[[#This Row],[Weathersituation]],"Clear","Mist","Light Rain","Heavy Rain")</f>
        <v>Clear</v>
      </c>
      <c r="S319" s="9" t="str">
        <f>TEXT(FinalData[[#This Row],[Date]],"mmm")</f>
        <v>Feb</v>
      </c>
    </row>
    <row r="320" spans="1:19" x14ac:dyDescent="0.3">
      <c r="A320">
        <v>929</v>
      </c>
      <c r="B320" s="1">
        <v>40585</v>
      </c>
      <c r="C320">
        <v>1</v>
      </c>
      <c r="D320">
        <v>0</v>
      </c>
      <c r="E320">
        <v>2</v>
      </c>
      <c r="F320">
        <v>7</v>
      </c>
      <c r="G320" t="b">
        <v>0</v>
      </c>
      <c r="H320">
        <v>5</v>
      </c>
      <c r="I320">
        <v>1</v>
      </c>
      <c r="J320">
        <v>0.08</v>
      </c>
      <c r="K320" s="6">
        <v>0.16669999999999999</v>
      </c>
      <c r="L320">
        <v>0.73</v>
      </c>
      <c r="M320">
        <v>0</v>
      </c>
      <c r="N320" s="4">
        <v>1</v>
      </c>
      <c r="O320" s="4">
        <v>73</v>
      </c>
      <c r="P320" s="4">
        <v>74</v>
      </c>
      <c r="Q320" s="9" t="str">
        <f>CHOOSE(FinalData[[#This Row],[Season]],"Spring","Summer","Fall","Winter")</f>
        <v>Spring</v>
      </c>
      <c r="R320" s="9" t="str">
        <f>CHOOSE(FinalData[[#This Row],[Weathersituation]],"Clear","Mist","Light Rain","Heavy Rain")</f>
        <v>Clear</v>
      </c>
      <c r="S320" s="9" t="str">
        <f>TEXT(FinalData[[#This Row],[Date]],"mmm")</f>
        <v>Feb</v>
      </c>
    </row>
    <row r="321" spans="1:19" x14ac:dyDescent="0.3">
      <c r="A321">
        <v>930</v>
      </c>
      <c r="B321" s="1">
        <v>40585</v>
      </c>
      <c r="C321">
        <v>1</v>
      </c>
      <c r="D321">
        <v>0</v>
      </c>
      <c r="E321">
        <v>2</v>
      </c>
      <c r="F321">
        <v>8</v>
      </c>
      <c r="G321" t="b">
        <v>0</v>
      </c>
      <c r="H321">
        <v>5</v>
      </c>
      <c r="I321">
        <v>1</v>
      </c>
      <c r="J321">
        <v>0.1</v>
      </c>
      <c r="K321" s="6">
        <v>0.1212</v>
      </c>
      <c r="L321">
        <v>0.74</v>
      </c>
      <c r="M321">
        <v>0.16420000000000001</v>
      </c>
      <c r="N321" s="4">
        <v>4</v>
      </c>
      <c r="O321" s="4">
        <v>212</v>
      </c>
      <c r="P321" s="4">
        <v>216</v>
      </c>
      <c r="Q321" s="9" t="str">
        <f>CHOOSE(FinalData[[#This Row],[Season]],"Spring","Summer","Fall","Winter")</f>
        <v>Spring</v>
      </c>
      <c r="R321" s="9" t="str">
        <f>CHOOSE(FinalData[[#This Row],[Weathersituation]],"Clear","Mist","Light Rain","Heavy Rain")</f>
        <v>Clear</v>
      </c>
      <c r="S321" s="9" t="str">
        <f>TEXT(FinalData[[#This Row],[Date]],"mmm")</f>
        <v>Feb</v>
      </c>
    </row>
    <row r="322" spans="1:19" x14ac:dyDescent="0.3">
      <c r="A322">
        <v>931</v>
      </c>
      <c r="B322" s="1">
        <v>40585</v>
      </c>
      <c r="C322">
        <v>1</v>
      </c>
      <c r="D322">
        <v>0</v>
      </c>
      <c r="E322">
        <v>2</v>
      </c>
      <c r="F322">
        <v>9</v>
      </c>
      <c r="G322" t="b">
        <v>0</v>
      </c>
      <c r="H322">
        <v>5</v>
      </c>
      <c r="I322">
        <v>1</v>
      </c>
      <c r="J322">
        <v>0.12</v>
      </c>
      <c r="K322" s="6">
        <v>0.1212</v>
      </c>
      <c r="L322">
        <v>0.74</v>
      </c>
      <c r="M322">
        <v>0.22389999999999999</v>
      </c>
      <c r="N322" s="4">
        <v>8</v>
      </c>
      <c r="O322" s="4">
        <v>132</v>
      </c>
      <c r="P322" s="4">
        <v>140</v>
      </c>
      <c r="Q322" s="9" t="str">
        <f>CHOOSE(FinalData[[#This Row],[Season]],"Spring","Summer","Fall","Winter")</f>
        <v>Spring</v>
      </c>
      <c r="R322" s="9" t="str">
        <f>CHOOSE(FinalData[[#This Row],[Weathersituation]],"Clear","Mist","Light Rain","Heavy Rain")</f>
        <v>Clear</v>
      </c>
      <c r="S322" s="9" t="str">
        <f>TEXT(FinalData[[#This Row],[Date]],"mmm")</f>
        <v>Feb</v>
      </c>
    </row>
    <row r="323" spans="1:19" x14ac:dyDescent="0.3">
      <c r="A323">
        <v>932</v>
      </c>
      <c r="B323" s="1">
        <v>40585</v>
      </c>
      <c r="C323">
        <v>1</v>
      </c>
      <c r="D323">
        <v>0</v>
      </c>
      <c r="E323">
        <v>2</v>
      </c>
      <c r="F323">
        <v>10</v>
      </c>
      <c r="G323" t="b">
        <v>0</v>
      </c>
      <c r="H323">
        <v>5</v>
      </c>
      <c r="I323">
        <v>1</v>
      </c>
      <c r="J323">
        <v>0.14000000000000001</v>
      </c>
      <c r="K323" s="6">
        <v>0.13639999999999999</v>
      </c>
      <c r="L323">
        <v>0.69</v>
      </c>
      <c r="M323">
        <v>0.19400000000000001</v>
      </c>
      <c r="N323" s="4">
        <v>5</v>
      </c>
      <c r="O323" s="4">
        <v>39</v>
      </c>
      <c r="P323" s="4">
        <v>44</v>
      </c>
      <c r="Q323" s="9" t="str">
        <f>CHOOSE(FinalData[[#This Row],[Season]],"Spring","Summer","Fall","Winter")</f>
        <v>Spring</v>
      </c>
      <c r="R323" s="9" t="str">
        <f>CHOOSE(FinalData[[#This Row],[Weathersituation]],"Clear","Mist","Light Rain","Heavy Rain")</f>
        <v>Clear</v>
      </c>
      <c r="S323" s="9" t="str">
        <f>TEXT(FinalData[[#This Row],[Date]],"mmm")</f>
        <v>Feb</v>
      </c>
    </row>
    <row r="324" spans="1:19" x14ac:dyDescent="0.3">
      <c r="A324">
        <v>933</v>
      </c>
      <c r="B324" s="1">
        <v>40585</v>
      </c>
      <c r="C324">
        <v>1</v>
      </c>
      <c r="D324">
        <v>0</v>
      </c>
      <c r="E324">
        <v>2</v>
      </c>
      <c r="F324">
        <v>11</v>
      </c>
      <c r="G324" t="b">
        <v>0</v>
      </c>
      <c r="H324">
        <v>5</v>
      </c>
      <c r="I324">
        <v>1</v>
      </c>
      <c r="J324">
        <v>0.22</v>
      </c>
      <c r="K324" s="6">
        <v>0.2273</v>
      </c>
      <c r="L324">
        <v>0.47</v>
      </c>
      <c r="M324">
        <v>0.1343</v>
      </c>
      <c r="N324" s="4">
        <v>12</v>
      </c>
      <c r="O324" s="4">
        <v>52</v>
      </c>
      <c r="P324" s="4">
        <v>64</v>
      </c>
      <c r="Q324" s="9" t="str">
        <f>CHOOSE(FinalData[[#This Row],[Season]],"Spring","Summer","Fall","Winter")</f>
        <v>Spring</v>
      </c>
      <c r="R324" s="9" t="str">
        <f>CHOOSE(FinalData[[#This Row],[Weathersituation]],"Clear","Mist","Light Rain","Heavy Rain")</f>
        <v>Clear</v>
      </c>
      <c r="S324" s="9" t="str">
        <f>TEXT(FinalData[[#This Row],[Date]],"mmm")</f>
        <v>Feb</v>
      </c>
    </row>
    <row r="325" spans="1:19" x14ac:dyDescent="0.3">
      <c r="A325">
        <v>934</v>
      </c>
      <c r="B325" s="1">
        <v>40585</v>
      </c>
      <c r="C325">
        <v>1</v>
      </c>
      <c r="D325">
        <v>0</v>
      </c>
      <c r="E325">
        <v>2</v>
      </c>
      <c r="F325">
        <v>12</v>
      </c>
      <c r="G325" t="b">
        <v>0</v>
      </c>
      <c r="H325">
        <v>5</v>
      </c>
      <c r="I325">
        <v>1</v>
      </c>
      <c r="J325">
        <v>0.22</v>
      </c>
      <c r="K325" s="6">
        <v>0.2273</v>
      </c>
      <c r="L325">
        <v>0.47</v>
      </c>
      <c r="M325">
        <v>0.1343</v>
      </c>
      <c r="N325" s="4">
        <v>7</v>
      </c>
      <c r="O325" s="4">
        <v>64</v>
      </c>
      <c r="P325" s="4">
        <v>71</v>
      </c>
      <c r="Q325" s="9" t="str">
        <f>CHOOSE(FinalData[[#This Row],[Season]],"Spring","Summer","Fall","Winter")</f>
        <v>Spring</v>
      </c>
      <c r="R325" s="9" t="str">
        <f>CHOOSE(FinalData[[#This Row],[Weathersituation]],"Clear","Mist","Light Rain","Heavy Rain")</f>
        <v>Clear</v>
      </c>
      <c r="S325" s="9" t="str">
        <f>TEXT(FinalData[[#This Row],[Date]],"mmm")</f>
        <v>Feb</v>
      </c>
    </row>
    <row r="326" spans="1:19" x14ac:dyDescent="0.3">
      <c r="A326">
        <v>935</v>
      </c>
      <c r="B326" s="1">
        <v>40585</v>
      </c>
      <c r="C326">
        <v>1</v>
      </c>
      <c r="D326">
        <v>0</v>
      </c>
      <c r="E326">
        <v>2</v>
      </c>
      <c r="F326">
        <v>13</v>
      </c>
      <c r="G326" t="b">
        <v>0</v>
      </c>
      <c r="H326">
        <v>5</v>
      </c>
      <c r="I326">
        <v>1</v>
      </c>
      <c r="J326">
        <v>0.24</v>
      </c>
      <c r="K326" s="6">
        <v>0.2273</v>
      </c>
      <c r="L326">
        <v>0.35</v>
      </c>
      <c r="M326">
        <v>0.19400000000000001</v>
      </c>
      <c r="N326" s="4">
        <v>21</v>
      </c>
      <c r="O326" s="4">
        <v>89</v>
      </c>
      <c r="P326" s="4">
        <v>110</v>
      </c>
      <c r="Q326" s="9" t="str">
        <f>CHOOSE(FinalData[[#This Row],[Season]],"Spring","Summer","Fall","Winter")</f>
        <v>Spring</v>
      </c>
      <c r="R326" s="9" t="str">
        <f>CHOOSE(FinalData[[#This Row],[Weathersituation]],"Clear","Mist","Light Rain","Heavy Rain")</f>
        <v>Clear</v>
      </c>
      <c r="S326" s="9" t="str">
        <f>TEXT(FinalData[[#This Row],[Date]],"mmm")</f>
        <v>Feb</v>
      </c>
    </row>
    <row r="327" spans="1:19" x14ac:dyDescent="0.3">
      <c r="A327">
        <v>936</v>
      </c>
      <c r="B327" s="1">
        <v>40585</v>
      </c>
      <c r="C327">
        <v>1</v>
      </c>
      <c r="D327">
        <v>0</v>
      </c>
      <c r="E327">
        <v>2</v>
      </c>
      <c r="F327">
        <v>14</v>
      </c>
      <c r="G327" t="b">
        <v>0</v>
      </c>
      <c r="H327">
        <v>5</v>
      </c>
      <c r="I327">
        <v>1</v>
      </c>
      <c r="J327">
        <v>0.3</v>
      </c>
      <c r="K327" s="6">
        <v>0.28789999999999999</v>
      </c>
      <c r="L327">
        <v>0.26</v>
      </c>
      <c r="M327">
        <v>0.25369999999999998</v>
      </c>
      <c r="N327" s="4">
        <v>17</v>
      </c>
      <c r="O327" s="4">
        <v>67</v>
      </c>
      <c r="P327" s="4">
        <v>84</v>
      </c>
      <c r="Q327" s="9" t="str">
        <f>CHOOSE(FinalData[[#This Row],[Season]],"Spring","Summer","Fall","Winter")</f>
        <v>Spring</v>
      </c>
      <c r="R327" s="9" t="str">
        <f>CHOOSE(FinalData[[#This Row],[Weathersituation]],"Clear","Mist","Light Rain","Heavy Rain")</f>
        <v>Clear</v>
      </c>
      <c r="S327" s="9" t="str">
        <f>TEXT(FinalData[[#This Row],[Date]],"mmm")</f>
        <v>Feb</v>
      </c>
    </row>
    <row r="328" spans="1:19" x14ac:dyDescent="0.3">
      <c r="A328">
        <v>937</v>
      </c>
      <c r="B328" s="1">
        <v>40585</v>
      </c>
      <c r="C328">
        <v>1</v>
      </c>
      <c r="D328">
        <v>0</v>
      </c>
      <c r="E328">
        <v>2</v>
      </c>
      <c r="F328">
        <v>15</v>
      </c>
      <c r="G328" t="b">
        <v>0</v>
      </c>
      <c r="H328">
        <v>5</v>
      </c>
      <c r="I328">
        <v>1</v>
      </c>
      <c r="J328">
        <v>0.32</v>
      </c>
      <c r="K328" s="6">
        <v>0.31819999999999998</v>
      </c>
      <c r="L328">
        <v>0.21</v>
      </c>
      <c r="M328">
        <v>0.16420000000000001</v>
      </c>
      <c r="N328" s="4">
        <v>12</v>
      </c>
      <c r="O328" s="4">
        <v>62</v>
      </c>
      <c r="P328" s="4">
        <v>74</v>
      </c>
      <c r="Q328" s="9" t="str">
        <f>CHOOSE(FinalData[[#This Row],[Season]],"Spring","Summer","Fall","Winter")</f>
        <v>Spring</v>
      </c>
      <c r="R328" s="9" t="str">
        <f>CHOOSE(FinalData[[#This Row],[Weathersituation]],"Clear","Mist","Light Rain","Heavy Rain")</f>
        <v>Clear</v>
      </c>
      <c r="S328" s="9" t="str">
        <f>TEXT(FinalData[[#This Row],[Date]],"mmm")</f>
        <v>Feb</v>
      </c>
    </row>
    <row r="329" spans="1:19" x14ac:dyDescent="0.3">
      <c r="A329">
        <v>938</v>
      </c>
      <c r="B329" s="1">
        <v>40585</v>
      </c>
      <c r="C329">
        <v>1</v>
      </c>
      <c r="D329">
        <v>0</v>
      </c>
      <c r="E329">
        <v>2</v>
      </c>
      <c r="F329">
        <v>16</v>
      </c>
      <c r="G329" t="b">
        <v>0</v>
      </c>
      <c r="H329">
        <v>5</v>
      </c>
      <c r="I329">
        <v>1</v>
      </c>
      <c r="J329">
        <v>0.3</v>
      </c>
      <c r="K329" s="6">
        <v>0.28789999999999999</v>
      </c>
      <c r="L329">
        <v>0.28000000000000003</v>
      </c>
      <c r="M329">
        <v>0.19400000000000001</v>
      </c>
      <c r="N329" s="4">
        <v>14</v>
      </c>
      <c r="O329" s="4">
        <v>111</v>
      </c>
      <c r="P329" s="4">
        <v>125</v>
      </c>
      <c r="Q329" s="9" t="str">
        <f>CHOOSE(FinalData[[#This Row],[Season]],"Spring","Summer","Fall","Winter")</f>
        <v>Spring</v>
      </c>
      <c r="R329" s="9" t="str">
        <f>CHOOSE(FinalData[[#This Row],[Weathersituation]],"Clear","Mist","Light Rain","Heavy Rain")</f>
        <v>Clear</v>
      </c>
      <c r="S329" s="9" t="str">
        <f>TEXT(FinalData[[#This Row],[Date]],"mmm")</f>
        <v>Feb</v>
      </c>
    </row>
    <row r="330" spans="1:19" x14ac:dyDescent="0.3">
      <c r="A330">
        <v>939</v>
      </c>
      <c r="B330" s="1">
        <v>40585</v>
      </c>
      <c r="C330">
        <v>1</v>
      </c>
      <c r="D330">
        <v>0</v>
      </c>
      <c r="E330">
        <v>2</v>
      </c>
      <c r="F330">
        <v>17</v>
      </c>
      <c r="G330" t="b">
        <v>0</v>
      </c>
      <c r="H330">
        <v>5</v>
      </c>
      <c r="I330">
        <v>1</v>
      </c>
      <c r="J330">
        <v>0.3</v>
      </c>
      <c r="K330" s="6">
        <v>0.33329999999999999</v>
      </c>
      <c r="L330">
        <v>0.24</v>
      </c>
      <c r="M330">
        <v>0</v>
      </c>
      <c r="N330" s="4">
        <v>18</v>
      </c>
      <c r="O330" s="4">
        <v>193</v>
      </c>
      <c r="P330" s="4">
        <v>211</v>
      </c>
      <c r="Q330" s="9" t="str">
        <f>CHOOSE(FinalData[[#This Row],[Season]],"Spring","Summer","Fall","Winter")</f>
        <v>Spring</v>
      </c>
      <c r="R330" s="9" t="str">
        <f>CHOOSE(FinalData[[#This Row],[Weathersituation]],"Clear","Mist","Light Rain","Heavy Rain")</f>
        <v>Clear</v>
      </c>
      <c r="S330" s="9" t="str">
        <f>TEXT(FinalData[[#This Row],[Date]],"mmm")</f>
        <v>Feb</v>
      </c>
    </row>
    <row r="331" spans="1:19" x14ac:dyDescent="0.3">
      <c r="A331">
        <v>940</v>
      </c>
      <c r="B331" s="1">
        <v>40585</v>
      </c>
      <c r="C331">
        <v>1</v>
      </c>
      <c r="D331">
        <v>0</v>
      </c>
      <c r="E331">
        <v>2</v>
      </c>
      <c r="F331">
        <v>18</v>
      </c>
      <c r="G331" t="b">
        <v>0</v>
      </c>
      <c r="H331">
        <v>5</v>
      </c>
      <c r="I331">
        <v>1</v>
      </c>
      <c r="J331">
        <v>0.28000000000000003</v>
      </c>
      <c r="K331" s="6">
        <v>0.31819999999999998</v>
      </c>
      <c r="L331">
        <v>0.28000000000000003</v>
      </c>
      <c r="M331">
        <v>0</v>
      </c>
      <c r="N331" s="4">
        <v>9</v>
      </c>
      <c r="O331" s="4">
        <v>165</v>
      </c>
      <c r="P331" s="4">
        <v>174</v>
      </c>
      <c r="Q331" s="9" t="str">
        <f>CHOOSE(FinalData[[#This Row],[Season]],"Spring","Summer","Fall","Winter")</f>
        <v>Spring</v>
      </c>
      <c r="R331" s="9" t="str">
        <f>CHOOSE(FinalData[[#This Row],[Weathersituation]],"Clear","Mist","Light Rain","Heavy Rain")</f>
        <v>Clear</v>
      </c>
      <c r="S331" s="9" t="str">
        <f>TEXT(FinalData[[#This Row],[Date]],"mmm")</f>
        <v>Feb</v>
      </c>
    </row>
    <row r="332" spans="1:19" x14ac:dyDescent="0.3">
      <c r="A332">
        <v>941</v>
      </c>
      <c r="B332" s="1">
        <v>40585</v>
      </c>
      <c r="C332">
        <v>1</v>
      </c>
      <c r="D332">
        <v>0</v>
      </c>
      <c r="E332">
        <v>2</v>
      </c>
      <c r="F332">
        <v>19</v>
      </c>
      <c r="G332" t="b">
        <v>0</v>
      </c>
      <c r="H332">
        <v>5</v>
      </c>
      <c r="I332">
        <v>1</v>
      </c>
      <c r="J332">
        <v>0.26</v>
      </c>
      <c r="K332" s="6">
        <v>0.30299999999999999</v>
      </c>
      <c r="L332">
        <v>0.33</v>
      </c>
      <c r="M332">
        <v>0</v>
      </c>
      <c r="N332" s="4">
        <v>7</v>
      </c>
      <c r="O332" s="4">
        <v>94</v>
      </c>
      <c r="P332" s="4">
        <v>101</v>
      </c>
      <c r="Q332" s="9" t="str">
        <f>CHOOSE(FinalData[[#This Row],[Season]],"Spring","Summer","Fall","Winter")</f>
        <v>Spring</v>
      </c>
      <c r="R332" s="9" t="str">
        <f>CHOOSE(FinalData[[#This Row],[Weathersituation]],"Clear","Mist","Light Rain","Heavy Rain")</f>
        <v>Clear</v>
      </c>
      <c r="S332" s="9" t="str">
        <f>TEXT(FinalData[[#This Row],[Date]],"mmm")</f>
        <v>Feb</v>
      </c>
    </row>
    <row r="333" spans="1:19" x14ac:dyDescent="0.3">
      <c r="A333">
        <v>942</v>
      </c>
      <c r="B333" s="1">
        <v>40585</v>
      </c>
      <c r="C333">
        <v>1</v>
      </c>
      <c r="D333">
        <v>0</v>
      </c>
      <c r="E333">
        <v>2</v>
      </c>
      <c r="F333">
        <v>20</v>
      </c>
      <c r="G333" t="b">
        <v>0</v>
      </c>
      <c r="H333">
        <v>5</v>
      </c>
      <c r="I333">
        <v>1</v>
      </c>
      <c r="J333">
        <v>0.22</v>
      </c>
      <c r="K333" s="6">
        <v>0.2273</v>
      </c>
      <c r="L333">
        <v>0.55000000000000004</v>
      </c>
      <c r="M333">
        <v>0.1343</v>
      </c>
      <c r="N333" s="4">
        <v>2</v>
      </c>
      <c r="O333" s="4">
        <v>61</v>
      </c>
      <c r="P333" s="4">
        <v>63</v>
      </c>
      <c r="Q333" s="9" t="str">
        <f>CHOOSE(FinalData[[#This Row],[Season]],"Spring","Summer","Fall","Winter")</f>
        <v>Spring</v>
      </c>
      <c r="R333" s="9" t="str">
        <f>CHOOSE(FinalData[[#This Row],[Weathersituation]],"Clear","Mist","Light Rain","Heavy Rain")</f>
        <v>Clear</v>
      </c>
      <c r="S333" s="9" t="str">
        <f>TEXT(FinalData[[#This Row],[Date]],"mmm")</f>
        <v>Feb</v>
      </c>
    </row>
    <row r="334" spans="1:19" x14ac:dyDescent="0.3">
      <c r="A334">
        <v>943</v>
      </c>
      <c r="B334" s="1">
        <v>40585</v>
      </c>
      <c r="C334">
        <v>1</v>
      </c>
      <c r="D334">
        <v>0</v>
      </c>
      <c r="E334">
        <v>2</v>
      </c>
      <c r="F334">
        <v>21</v>
      </c>
      <c r="G334" t="b">
        <v>0</v>
      </c>
      <c r="H334">
        <v>5</v>
      </c>
      <c r="I334">
        <v>1</v>
      </c>
      <c r="J334">
        <v>0.2</v>
      </c>
      <c r="K334" s="6">
        <v>0.21210000000000001</v>
      </c>
      <c r="L334">
        <v>0.59</v>
      </c>
      <c r="M334">
        <v>0.1343</v>
      </c>
      <c r="N334" s="4">
        <v>1</v>
      </c>
      <c r="O334" s="4">
        <v>46</v>
      </c>
      <c r="P334" s="4">
        <v>47</v>
      </c>
      <c r="Q334" s="9" t="str">
        <f>CHOOSE(FinalData[[#This Row],[Season]],"Spring","Summer","Fall","Winter")</f>
        <v>Spring</v>
      </c>
      <c r="R334" s="9" t="str">
        <f>CHOOSE(FinalData[[#This Row],[Weathersituation]],"Clear","Mist","Light Rain","Heavy Rain")</f>
        <v>Clear</v>
      </c>
      <c r="S334" s="9" t="str">
        <f>TEXT(FinalData[[#This Row],[Date]],"mmm")</f>
        <v>Feb</v>
      </c>
    </row>
    <row r="335" spans="1:19" x14ac:dyDescent="0.3">
      <c r="A335">
        <v>944</v>
      </c>
      <c r="B335" s="1">
        <v>40585</v>
      </c>
      <c r="C335">
        <v>1</v>
      </c>
      <c r="D335">
        <v>0</v>
      </c>
      <c r="E335">
        <v>2</v>
      </c>
      <c r="F335">
        <v>22</v>
      </c>
      <c r="G335" t="b">
        <v>0</v>
      </c>
      <c r="H335">
        <v>5</v>
      </c>
      <c r="I335">
        <v>1</v>
      </c>
      <c r="J335">
        <v>0.2</v>
      </c>
      <c r="K335" s="6">
        <v>0.2273</v>
      </c>
      <c r="L335">
        <v>0.64</v>
      </c>
      <c r="M335">
        <v>8.9599999999999999E-2</v>
      </c>
      <c r="N335" s="4">
        <v>2</v>
      </c>
      <c r="O335" s="4">
        <v>41</v>
      </c>
      <c r="P335" s="4">
        <v>43</v>
      </c>
      <c r="Q335" s="9" t="str">
        <f>CHOOSE(FinalData[[#This Row],[Season]],"Spring","Summer","Fall","Winter")</f>
        <v>Spring</v>
      </c>
      <c r="R335" s="9" t="str">
        <f>CHOOSE(FinalData[[#This Row],[Weathersituation]],"Clear","Mist","Light Rain","Heavy Rain")</f>
        <v>Clear</v>
      </c>
      <c r="S335" s="9" t="str">
        <f>TEXT(FinalData[[#This Row],[Date]],"mmm")</f>
        <v>Feb</v>
      </c>
    </row>
    <row r="336" spans="1:19" x14ac:dyDescent="0.3">
      <c r="A336">
        <v>945</v>
      </c>
      <c r="B336" s="1">
        <v>40585</v>
      </c>
      <c r="C336">
        <v>1</v>
      </c>
      <c r="D336">
        <v>0</v>
      </c>
      <c r="E336">
        <v>2</v>
      </c>
      <c r="F336">
        <v>23</v>
      </c>
      <c r="G336" t="b">
        <v>0</v>
      </c>
      <c r="H336">
        <v>5</v>
      </c>
      <c r="I336">
        <v>1</v>
      </c>
      <c r="J336">
        <v>0.18</v>
      </c>
      <c r="K336" s="6">
        <v>0.2424</v>
      </c>
      <c r="L336">
        <v>0.69</v>
      </c>
      <c r="M336">
        <v>0</v>
      </c>
      <c r="N336" s="4">
        <v>5</v>
      </c>
      <c r="O336" s="4">
        <v>48</v>
      </c>
      <c r="P336" s="4">
        <v>53</v>
      </c>
      <c r="Q336" s="9" t="str">
        <f>CHOOSE(FinalData[[#This Row],[Season]],"Spring","Summer","Fall","Winter")</f>
        <v>Spring</v>
      </c>
      <c r="R336" s="9" t="str">
        <f>CHOOSE(FinalData[[#This Row],[Weathersituation]],"Clear","Mist","Light Rain","Heavy Rain")</f>
        <v>Clear</v>
      </c>
      <c r="S336" s="9" t="str">
        <f>TEXT(FinalData[[#This Row],[Date]],"mmm")</f>
        <v>Feb</v>
      </c>
    </row>
    <row r="337" spans="1:19" x14ac:dyDescent="0.3">
      <c r="A337">
        <v>946</v>
      </c>
      <c r="B337" s="1">
        <v>40586</v>
      </c>
      <c r="C337">
        <v>1</v>
      </c>
      <c r="D337">
        <v>0</v>
      </c>
      <c r="E337">
        <v>2</v>
      </c>
      <c r="F337">
        <v>0</v>
      </c>
      <c r="G337" t="b">
        <v>0</v>
      </c>
      <c r="H337">
        <v>6</v>
      </c>
      <c r="I337">
        <v>1</v>
      </c>
      <c r="J337">
        <v>0.16</v>
      </c>
      <c r="K337" s="6">
        <v>0.19700000000000001</v>
      </c>
      <c r="L337">
        <v>0.69</v>
      </c>
      <c r="M337">
        <v>8.9599999999999999E-2</v>
      </c>
      <c r="N337" s="4">
        <v>3</v>
      </c>
      <c r="O337" s="4">
        <v>27</v>
      </c>
      <c r="P337" s="4">
        <v>30</v>
      </c>
      <c r="Q337" s="9" t="str">
        <f>CHOOSE(FinalData[[#This Row],[Season]],"Spring","Summer","Fall","Winter")</f>
        <v>Spring</v>
      </c>
      <c r="R337" s="9" t="str">
        <f>CHOOSE(FinalData[[#This Row],[Weathersituation]],"Clear","Mist","Light Rain","Heavy Rain")</f>
        <v>Clear</v>
      </c>
      <c r="S337" s="9" t="str">
        <f>TEXT(FinalData[[#This Row],[Date]],"mmm")</f>
        <v>Feb</v>
      </c>
    </row>
    <row r="338" spans="1:19" x14ac:dyDescent="0.3">
      <c r="A338">
        <v>947</v>
      </c>
      <c r="B338" s="1">
        <v>40586</v>
      </c>
      <c r="C338">
        <v>1</v>
      </c>
      <c r="D338">
        <v>0</v>
      </c>
      <c r="E338">
        <v>2</v>
      </c>
      <c r="F338">
        <v>1</v>
      </c>
      <c r="G338" t="b">
        <v>0</v>
      </c>
      <c r="H338">
        <v>6</v>
      </c>
      <c r="I338">
        <v>1</v>
      </c>
      <c r="J338">
        <v>0.14000000000000001</v>
      </c>
      <c r="K338" s="6">
        <v>0.21210000000000001</v>
      </c>
      <c r="L338">
        <v>0.86</v>
      </c>
      <c r="M338">
        <v>0</v>
      </c>
      <c r="N338" s="4">
        <v>2</v>
      </c>
      <c r="O338" s="4">
        <v>22</v>
      </c>
      <c r="P338" s="4">
        <v>24</v>
      </c>
      <c r="Q338" s="9" t="str">
        <f>CHOOSE(FinalData[[#This Row],[Season]],"Spring","Summer","Fall","Winter")</f>
        <v>Spring</v>
      </c>
      <c r="R338" s="9" t="str">
        <f>CHOOSE(FinalData[[#This Row],[Weathersituation]],"Clear","Mist","Light Rain","Heavy Rain")</f>
        <v>Clear</v>
      </c>
      <c r="S338" s="9" t="str">
        <f>TEXT(FinalData[[#This Row],[Date]],"mmm")</f>
        <v>Feb</v>
      </c>
    </row>
    <row r="339" spans="1:19" x14ac:dyDescent="0.3">
      <c r="A339">
        <v>948</v>
      </c>
      <c r="B339" s="1">
        <v>40586</v>
      </c>
      <c r="C339">
        <v>1</v>
      </c>
      <c r="D339">
        <v>0</v>
      </c>
      <c r="E339">
        <v>2</v>
      </c>
      <c r="F339">
        <v>2</v>
      </c>
      <c r="G339" t="b">
        <v>0</v>
      </c>
      <c r="H339">
        <v>6</v>
      </c>
      <c r="I339">
        <v>1</v>
      </c>
      <c r="J339">
        <v>0.14000000000000001</v>
      </c>
      <c r="K339" s="6">
        <v>0.21210000000000001</v>
      </c>
      <c r="L339">
        <v>0.8</v>
      </c>
      <c r="M339">
        <v>0</v>
      </c>
      <c r="N339" s="4">
        <v>2</v>
      </c>
      <c r="O339" s="4">
        <v>13</v>
      </c>
      <c r="P339" s="4">
        <v>15</v>
      </c>
      <c r="Q339" s="9" t="str">
        <f>CHOOSE(FinalData[[#This Row],[Season]],"Spring","Summer","Fall","Winter")</f>
        <v>Spring</v>
      </c>
      <c r="R339" s="9" t="str">
        <f>CHOOSE(FinalData[[#This Row],[Weathersituation]],"Clear","Mist","Light Rain","Heavy Rain")</f>
        <v>Clear</v>
      </c>
      <c r="S339" s="9" t="str">
        <f>TEXT(FinalData[[#This Row],[Date]],"mmm")</f>
        <v>Feb</v>
      </c>
    </row>
    <row r="340" spans="1:19" x14ac:dyDescent="0.3">
      <c r="A340">
        <v>949</v>
      </c>
      <c r="B340" s="1">
        <v>40586</v>
      </c>
      <c r="C340">
        <v>1</v>
      </c>
      <c r="D340">
        <v>0</v>
      </c>
      <c r="E340">
        <v>2</v>
      </c>
      <c r="F340">
        <v>3</v>
      </c>
      <c r="G340" t="b">
        <v>0</v>
      </c>
      <c r="H340">
        <v>6</v>
      </c>
      <c r="I340">
        <v>1</v>
      </c>
      <c r="J340">
        <v>0.12</v>
      </c>
      <c r="K340" s="6">
        <v>0.19700000000000001</v>
      </c>
      <c r="L340">
        <v>0.8</v>
      </c>
      <c r="M340">
        <v>0</v>
      </c>
      <c r="N340" s="4">
        <v>3</v>
      </c>
      <c r="O340" s="4">
        <v>7</v>
      </c>
      <c r="P340" s="4">
        <v>10</v>
      </c>
      <c r="Q340" s="9" t="str">
        <f>CHOOSE(FinalData[[#This Row],[Season]],"Spring","Summer","Fall","Winter")</f>
        <v>Spring</v>
      </c>
      <c r="R340" s="9" t="str">
        <f>CHOOSE(FinalData[[#This Row],[Weathersituation]],"Clear","Mist","Light Rain","Heavy Rain")</f>
        <v>Clear</v>
      </c>
      <c r="S340" s="9" t="str">
        <f>TEXT(FinalData[[#This Row],[Date]],"mmm")</f>
        <v>Feb</v>
      </c>
    </row>
    <row r="341" spans="1:19" x14ac:dyDescent="0.3">
      <c r="A341">
        <v>950</v>
      </c>
      <c r="B341" s="1">
        <v>40586</v>
      </c>
      <c r="C341">
        <v>1</v>
      </c>
      <c r="D341">
        <v>0</v>
      </c>
      <c r="E341">
        <v>2</v>
      </c>
      <c r="F341">
        <v>4</v>
      </c>
      <c r="G341" t="b">
        <v>0</v>
      </c>
      <c r="H341">
        <v>6</v>
      </c>
      <c r="I341">
        <v>1</v>
      </c>
      <c r="J341">
        <v>0.12</v>
      </c>
      <c r="K341" s="6">
        <v>0.16669999999999999</v>
      </c>
      <c r="L341">
        <v>0.74</v>
      </c>
      <c r="M341">
        <v>8.9599999999999999E-2</v>
      </c>
      <c r="N341" s="4">
        <v>0</v>
      </c>
      <c r="O341" s="4">
        <v>4</v>
      </c>
      <c r="P341" s="4">
        <v>4</v>
      </c>
      <c r="Q341" s="9" t="str">
        <f>CHOOSE(FinalData[[#This Row],[Season]],"Spring","Summer","Fall","Winter")</f>
        <v>Spring</v>
      </c>
      <c r="R341" s="9" t="str">
        <f>CHOOSE(FinalData[[#This Row],[Weathersituation]],"Clear","Mist","Light Rain","Heavy Rain")</f>
        <v>Clear</v>
      </c>
      <c r="S341" s="9" t="str">
        <f>TEXT(FinalData[[#This Row],[Date]],"mmm")</f>
        <v>Feb</v>
      </c>
    </row>
    <row r="342" spans="1:19" x14ac:dyDescent="0.3">
      <c r="A342">
        <v>951</v>
      </c>
      <c r="B342" s="1">
        <v>40586</v>
      </c>
      <c r="C342">
        <v>1</v>
      </c>
      <c r="D342">
        <v>0</v>
      </c>
      <c r="E342">
        <v>2</v>
      </c>
      <c r="F342">
        <v>5</v>
      </c>
      <c r="G342" t="b">
        <v>0</v>
      </c>
      <c r="H342">
        <v>6</v>
      </c>
      <c r="I342">
        <v>1</v>
      </c>
      <c r="J342">
        <v>0.12</v>
      </c>
      <c r="K342" s="6">
        <v>0.16669999999999999</v>
      </c>
      <c r="L342">
        <v>0.74</v>
      </c>
      <c r="M342">
        <v>8.9599999999999999E-2</v>
      </c>
      <c r="N342" s="4">
        <v>0</v>
      </c>
      <c r="O342" s="4">
        <v>1</v>
      </c>
      <c r="P342" s="4">
        <v>1</v>
      </c>
      <c r="Q342" s="9" t="str">
        <f>CHOOSE(FinalData[[#This Row],[Season]],"Spring","Summer","Fall","Winter")</f>
        <v>Spring</v>
      </c>
      <c r="R342" s="9" t="str">
        <f>CHOOSE(FinalData[[#This Row],[Weathersituation]],"Clear","Mist","Light Rain","Heavy Rain")</f>
        <v>Clear</v>
      </c>
      <c r="S342" s="9" t="str">
        <f>TEXT(FinalData[[#This Row],[Date]],"mmm")</f>
        <v>Feb</v>
      </c>
    </row>
    <row r="343" spans="1:19" x14ac:dyDescent="0.3">
      <c r="A343">
        <v>952</v>
      </c>
      <c r="B343" s="1">
        <v>40586</v>
      </c>
      <c r="C343">
        <v>1</v>
      </c>
      <c r="D343">
        <v>0</v>
      </c>
      <c r="E343">
        <v>2</v>
      </c>
      <c r="F343">
        <v>6</v>
      </c>
      <c r="G343" t="b">
        <v>0</v>
      </c>
      <c r="H343">
        <v>6</v>
      </c>
      <c r="I343">
        <v>1</v>
      </c>
      <c r="J343">
        <v>0.12</v>
      </c>
      <c r="K343" s="6">
        <v>0.13639999999999999</v>
      </c>
      <c r="L343">
        <v>0.93</v>
      </c>
      <c r="M343">
        <v>0.19400000000000001</v>
      </c>
      <c r="N343" s="4">
        <v>1</v>
      </c>
      <c r="O343" s="4">
        <v>1</v>
      </c>
      <c r="P343" s="4">
        <v>2</v>
      </c>
      <c r="Q343" s="9" t="str">
        <f>CHOOSE(FinalData[[#This Row],[Season]],"Spring","Summer","Fall","Winter")</f>
        <v>Spring</v>
      </c>
      <c r="R343" s="9" t="str">
        <f>CHOOSE(FinalData[[#This Row],[Weathersituation]],"Clear","Mist","Light Rain","Heavy Rain")</f>
        <v>Clear</v>
      </c>
      <c r="S343" s="9" t="str">
        <f>TEXT(FinalData[[#This Row],[Date]],"mmm")</f>
        <v>Feb</v>
      </c>
    </row>
    <row r="344" spans="1:19" x14ac:dyDescent="0.3">
      <c r="A344">
        <v>953</v>
      </c>
      <c r="B344" s="1">
        <v>40586</v>
      </c>
      <c r="C344">
        <v>1</v>
      </c>
      <c r="D344">
        <v>0</v>
      </c>
      <c r="E344">
        <v>2</v>
      </c>
      <c r="F344">
        <v>7</v>
      </c>
      <c r="G344" t="b">
        <v>0</v>
      </c>
      <c r="H344">
        <v>6</v>
      </c>
      <c r="I344">
        <v>1</v>
      </c>
      <c r="J344">
        <v>0.12</v>
      </c>
      <c r="K344" s="6">
        <v>0.1515</v>
      </c>
      <c r="L344">
        <v>0.8</v>
      </c>
      <c r="M344">
        <v>0.1045</v>
      </c>
      <c r="N344" s="4">
        <v>2</v>
      </c>
      <c r="O344" s="4">
        <v>9</v>
      </c>
      <c r="P344" s="4">
        <v>11</v>
      </c>
      <c r="Q344" s="9" t="str">
        <f>CHOOSE(FinalData[[#This Row],[Season]],"Spring","Summer","Fall","Winter")</f>
        <v>Spring</v>
      </c>
      <c r="R344" s="9" t="str">
        <f>CHOOSE(FinalData[[#This Row],[Weathersituation]],"Clear","Mist","Light Rain","Heavy Rain")</f>
        <v>Clear</v>
      </c>
      <c r="S344" s="9" t="str">
        <f>TEXT(FinalData[[#This Row],[Date]],"mmm")</f>
        <v>Feb</v>
      </c>
    </row>
    <row r="345" spans="1:19" x14ac:dyDescent="0.3">
      <c r="A345">
        <v>954</v>
      </c>
      <c r="B345" s="1">
        <v>40586</v>
      </c>
      <c r="C345">
        <v>1</v>
      </c>
      <c r="D345">
        <v>0</v>
      </c>
      <c r="E345">
        <v>2</v>
      </c>
      <c r="F345">
        <v>8</v>
      </c>
      <c r="G345" t="b">
        <v>0</v>
      </c>
      <c r="H345">
        <v>6</v>
      </c>
      <c r="I345">
        <v>1</v>
      </c>
      <c r="J345">
        <v>0.14000000000000001</v>
      </c>
      <c r="K345" s="6">
        <v>0.1515</v>
      </c>
      <c r="L345">
        <v>0.86</v>
      </c>
      <c r="M345">
        <v>0.1343</v>
      </c>
      <c r="N345" s="4">
        <v>2</v>
      </c>
      <c r="O345" s="4">
        <v>28</v>
      </c>
      <c r="P345" s="4">
        <v>30</v>
      </c>
      <c r="Q345" s="9" t="str">
        <f>CHOOSE(FinalData[[#This Row],[Season]],"Spring","Summer","Fall","Winter")</f>
        <v>Spring</v>
      </c>
      <c r="R345" s="9" t="str">
        <f>CHOOSE(FinalData[[#This Row],[Weathersituation]],"Clear","Mist","Light Rain","Heavy Rain")</f>
        <v>Clear</v>
      </c>
      <c r="S345" s="9" t="str">
        <f>TEXT(FinalData[[#This Row],[Date]],"mmm")</f>
        <v>Feb</v>
      </c>
    </row>
    <row r="346" spans="1:19" x14ac:dyDescent="0.3">
      <c r="A346">
        <v>955</v>
      </c>
      <c r="B346" s="1">
        <v>40586</v>
      </c>
      <c r="C346">
        <v>1</v>
      </c>
      <c r="D346">
        <v>0</v>
      </c>
      <c r="E346">
        <v>2</v>
      </c>
      <c r="F346">
        <v>9</v>
      </c>
      <c r="G346" t="b">
        <v>0</v>
      </c>
      <c r="H346">
        <v>6</v>
      </c>
      <c r="I346">
        <v>1</v>
      </c>
      <c r="J346">
        <v>0.16</v>
      </c>
      <c r="K346" s="6">
        <v>0.18179999999999999</v>
      </c>
      <c r="L346">
        <v>0.64</v>
      </c>
      <c r="M346">
        <v>0.1343</v>
      </c>
      <c r="N346" s="4">
        <v>5</v>
      </c>
      <c r="O346" s="4">
        <v>38</v>
      </c>
      <c r="P346" s="4">
        <v>43</v>
      </c>
      <c r="Q346" s="9" t="str">
        <f>CHOOSE(FinalData[[#This Row],[Season]],"Spring","Summer","Fall","Winter")</f>
        <v>Spring</v>
      </c>
      <c r="R346" s="9" t="str">
        <f>CHOOSE(FinalData[[#This Row],[Weathersituation]],"Clear","Mist","Light Rain","Heavy Rain")</f>
        <v>Clear</v>
      </c>
      <c r="S346" s="9" t="str">
        <f>TEXT(FinalData[[#This Row],[Date]],"mmm")</f>
        <v>Feb</v>
      </c>
    </row>
    <row r="347" spans="1:19" x14ac:dyDescent="0.3">
      <c r="A347">
        <v>956</v>
      </c>
      <c r="B347" s="1">
        <v>40586</v>
      </c>
      <c r="C347">
        <v>1</v>
      </c>
      <c r="D347">
        <v>0</v>
      </c>
      <c r="E347">
        <v>2</v>
      </c>
      <c r="F347">
        <v>10</v>
      </c>
      <c r="G347" t="b">
        <v>0</v>
      </c>
      <c r="H347">
        <v>6</v>
      </c>
      <c r="I347">
        <v>1</v>
      </c>
      <c r="J347">
        <v>0.22</v>
      </c>
      <c r="K347" s="6">
        <v>0.21210000000000001</v>
      </c>
      <c r="L347">
        <v>0.41</v>
      </c>
      <c r="M347">
        <v>0.25369999999999998</v>
      </c>
      <c r="N347" s="4">
        <v>13</v>
      </c>
      <c r="O347" s="4">
        <v>71</v>
      </c>
      <c r="P347" s="4">
        <v>84</v>
      </c>
      <c r="Q347" s="9" t="str">
        <f>CHOOSE(FinalData[[#This Row],[Season]],"Spring","Summer","Fall","Winter")</f>
        <v>Spring</v>
      </c>
      <c r="R347" s="9" t="str">
        <f>CHOOSE(FinalData[[#This Row],[Weathersituation]],"Clear","Mist","Light Rain","Heavy Rain")</f>
        <v>Clear</v>
      </c>
      <c r="S347" s="9" t="str">
        <f>TEXT(FinalData[[#This Row],[Date]],"mmm")</f>
        <v>Feb</v>
      </c>
    </row>
    <row r="348" spans="1:19" x14ac:dyDescent="0.3">
      <c r="A348">
        <v>957</v>
      </c>
      <c r="B348" s="1">
        <v>40586</v>
      </c>
      <c r="C348">
        <v>1</v>
      </c>
      <c r="D348">
        <v>0</v>
      </c>
      <c r="E348">
        <v>2</v>
      </c>
      <c r="F348">
        <v>11</v>
      </c>
      <c r="G348" t="b">
        <v>0</v>
      </c>
      <c r="H348">
        <v>6</v>
      </c>
      <c r="I348">
        <v>1</v>
      </c>
      <c r="J348">
        <v>0.3</v>
      </c>
      <c r="K348" s="6">
        <v>0.2727</v>
      </c>
      <c r="L348">
        <v>0.28000000000000003</v>
      </c>
      <c r="M348">
        <v>0.32840000000000003</v>
      </c>
      <c r="N348" s="4">
        <v>30</v>
      </c>
      <c r="O348" s="4">
        <v>84</v>
      </c>
      <c r="P348" s="4">
        <v>114</v>
      </c>
      <c r="Q348" s="9" t="str">
        <f>CHOOSE(FinalData[[#This Row],[Season]],"Spring","Summer","Fall","Winter")</f>
        <v>Spring</v>
      </c>
      <c r="R348" s="9" t="str">
        <f>CHOOSE(FinalData[[#This Row],[Weathersituation]],"Clear","Mist","Light Rain","Heavy Rain")</f>
        <v>Clear</v>
      </c>
      <c r="S348" s="9" t="str">
        <f>TEXT(FinalData[[#This Row],[Date]],"mmm")</f>
        <v>Feb</v>
      </c>
    </row>
    <row r="349" spans="1:19" x14ac:dyDescent="0.3">
      <c r="A349">
        <v>958</v>
      </c>
      <c r="B349" s="1">
        <v>40586</v>
      </c>
      <c r="C349">
        <v>1</v>
      </c>
      <c r="D349">
        <v>0</v>
      </c>
      <c r="E349">
        <v>2</v>
      </c>
      <c r="F349">
        <v>12</v>
      </c>
      <c r="G349" t="b">
        <v>0</v>
      </c>
      <c r="H349">
        <v>6</v>
      </c>
      <c r="I349">
        <v>1</v>
      </c>
      <c r="J349">
        <v>0.3</v>
      </c>
      <c r="K349" s="6">
        <v>0.2727</v>
      </c>
      <c r="L349">
        <v>0.39</v>
      </c>
      <c r="M349">
        <v>0.4627</v>
      </c>
      <c r="N349" s="4">
        <v>27</v>
      </c>
      <c r="O349" s="4">
        <v>93</v>
      </c>
      <c r="P349" s="4">
        <v>120</v>
      </c>
      <c r="Q349" s="9" t="str">
        <f>CHOOSE(FinalData[[#This Row],[Season]],"Spring","Summer","Fall","Winter")</f>
        <v>Spring</v>
      </c>
      <c r="R349" s="9" t="str">
        <f>CHOOSE(FinalData[[#This Row],[Weathersituation]],"Clear","Mist","Light Rain","Heavy Rain")</f>
        <v>Clear</v>
      </c>
      <c r="S349" s="9" t="str">
        <f>TEXT(FinalData[[#This Row],[Date]],"mmm")</f>
        <v>Feb</v>
      </c>
    </row>
    <row r="350" spans="1:19" x14ac:dyDescent="0.3">
      <c r="A350">
        <v>959</v>
      </c>
      <c r="B350" s="1">
        <v>40586</v>
      </c>
      <c r="C350">
        <v>1</v>
      </c>
      <c r="D350">
        <v>0</v>
      </c>
      <c r="E350">
        <v>2</v>
      </c>
      <c r="F350">
        <v>13</v>
      </c>
      <c r="G350" t="b">
        <v>0</v>
      </c>
      <c r="H350">
        <v>6</v>
      </c>
      <c r="I350">
        <v>1</v>
      </c>
      <c r="J350">
        <v>0.3</v>
      </c>
      <c r="K350" s="6">
        <v>0.2727</v>
      </c>
      <c r="L350">
        <v>0.39</v>
      </c>
      <c r="M350">
        <v>0.41789999999999999</v>
      </c>
      <c r="N350" s="4">
        <v>32</v>
      </c>
      <c r="O350" s="4">
        <v>103</v>
      </c>
      <c r="P350" s="4">
        <v>135</v>
      </c>
      <c r="Q350" s="9" t="str">
        <f>CHOOSE(FinalData[[#This Row],[Season]],"Spring","Summer","Fall","Winter")</f>
        <v>Spring</v>
      </c>
      <c r="R350" s="9" t="str">
        <f>CHOOSE(FinalData[[#This Row],[Weathersituation]],"Clear","Mist","Light Rain","Heavy Rain")</f>
        <v>Clear</v>
      </c>
      <c r="S350" s="9" t="str">
        <f>TEXT(FinalData[[#This Row],[Date]],"mmm")</f>
        <v>Feb</v>
      </c>
    </row>
    <row r="351" spans="1:19" x14ac:dyDescent="0.3">
      <c r="A351">
        <v>960</v>
      </c>
      <c r="B351" s="1">
        <v>40586</v>
      </c>
      <c r="C351">
        <v>1</v>
      </c>
      <c r="D351">
        <v>0</v>
      </c>
      <c r="E351">
        <v>2</v>
      </c>
      <c r="F351">
        <v>14</v>
      </c>
      <c r="G351" t="b">
        <v>0</v>
      </c>
      <c r="H351">
        <v>6</v>
      </c>
      <c r="I351">
        <v>1</v>
      </c>
      <c r="J351">
        <v>0.34</v>
      </c>
      <c r="K351" s="6">
        <v>0.31819999999999998</v>
      </c>
      <c r="L351">
        <v>0.31</v>
      </c>
      <c r="M351">
        <v>0.28360000000000002</v>
      </c>
      <c r="N351" s="4">
        <v>30</v>
      </c>
      <c r="O351" s="4">
        <v>90</v>
      </c>
      <c r="P351" s="4">
        <v>120</v>
      </c>
      <c r="Q351" s="9" t="str">
        <f>CHOOSE(FinalData[[#This Row],[Season]],"Spring","Summer","Fall","Winter")</f>
        <v>Spring</v>
      </c>
      <c r="R351" s="9" t="str">
        <f>CHOOSE(FinalData[[#This Row],[Weathersituation]],"Clear","Mist","Light Rain","Heavy Rain")</f>
        <v>Clear</v>
      </c>
      <c r="S351" s="9" t="str">
        <f>TEXT(FinalData[[#This Row],[Date]],"mmm")</f>
        <v>Feb</v>
      </c>
    </row>
    <row r="352" spans="1:19" x14ac:dyDescent="0.3">
      <c r="A352">
        <v>961</v>
      </c>
      <c r="B352" s="1">
        <v>40586</v>
      </c>
      <c r="C352">
        <v>1</v>
      </c>
      <c r="D352">
        <v>0</v>
      </c>
      <c r="E352">
        <v>2</v>
      </c>
      <c r="F352">
        <v>15</v>
      </c>
      <c r="G352" t="b">
        <v>0</v>
      </c>
      <c r="H352">
        <v>6</v>
      </c>
      <c r="I352">
        <v>1</v>
      </c>
      <c r="J352">
        <v>0.34</v>
      </c>
      <c r="K352" s="6">
        <v>0.30299999999999999</v>
      </c>
      <c r="L352">
        <v>0.28999999999999998</v>
      </c>
      <c r="M352">
        <v>0.41789999999999999</v>
      </c>
      <c r="N352" s="4">
        <v>47</v>
      </c>
      <c r="O352" s="4">
        <v>127</v>
      </c>
      <c r="P352" s="4">
        <v>174</v>
      </c>
      <c r="Q352" s="9" t="str">
        <f>CHOOSE(FinalData[[#This Row],[Season]],"Spring","Summer","Fall","Winter")</f>
        <v>Spring</v>
      </c>
      <c r="R352" s="9" t="str">
        <f>CHOOSE(FinalData[[#This Row],[Weathersituation]],"Clear","Mist","Light Rain","Heavy Rain")</f>
        <v>Clear</v>
      </c>
      <c r="S352" s="9" t="str">
        <f>TEXT(FinalData[[#This Row],[Date]],"mmm")</f>
        <v>Feb</v>
      </c>
    </row>
    <row r="353" spans="1:19" x14ac:dyDescent="0.3">
      <c r="A353">
        <v>962</v>
      </c>
      <c r="B353" s="1">
        <v>40586</v>
      </c>
      <c r="C353">
        <v>1</v>
      </c>
      <c r="D353">
        <v>0</v>
      </c>
      <c r="E353">
        <v>2</v>
      </c>
      <c r="F353">
        <v>16</v>
      </c>
      <c r="G353" t="b">
        <v>0</v>
      </c>
      <c r="H353">
        <v>6</v>
      </c>
      <c r="I353">
        <v>1</v>
      </c>
      <c r="J353">
        <v>0.34</v>
      </c>
      <c r="K353" s="6">
        <v>0.30299999999999999</v>
      </c>
      <c r="L353">
        <v>0.28999999999999998</v>
      </c>
      <c r="M353">
        <v>0.41789999999999999</v>
      </c>
      <c r="N353" s="4">
        <v>42</v>
      </c>
      <c r="O353" s="4">
        <v>103</v>
      </c>
      <c r="P353" s="4">
        <v>145</v>
      </c>
      <c r="Q353" s="9" t="str">
        <f>CHOOSE(FinalData[[#This Row],[Season]],"Spring","Summer","Fall","Winter")</f>
        <v>Spring</v>
      </c>
      <c r="R353" s="9" t="str">
        <f>CHOOSE(FinalData[[#This Row],[Weathersituation]],"Clear","Mist","Light Rain","Heavy Rain")</f>
        <v>Clear</v>
      </c>
      <c r="S353" s="9" t="str">
        <f>TEXT(FinalData[[#This Row],[Date]],"mmm")</f>
        <v>Feb</v>
      </c>
    </row>
    <row r="354" spans="1:19" x14ac:dyDescent="0.3">
      <c r="A354">
        <v>963</v>
      </c>
      <c r="B354" s="1">
        <v>40586</v>
      </c>
      <c r="C354">
        <v>1</v>
      </c>
      <c r="D354">
        <v>0</v>
      </c>
      <c r="E354">
        <v>2</v>
      </c>
      <c r="F354">
        <v>17</v>
      </c>
      <c r="G354" t="b">
        <v>0</v>
      </c>
      <c r="H354">
        <v>6</v>
      </c>
      <c r="I354">
        <v>1</v>
      </c>
      <c r="J354">
        <v>0.32</v>
      </c>
      <c r="K354" s="6">
        <v>0.28789999999999999</v>
      </c>
      <c r="L354">
        <v>0.31</v>
      </c>
      <c r="M354">
        <v>0.52239999999999998</v>
      </c>
      <c r="N354" s="4">
        <v>24</v>
      </c>
      <c r="O354" s="4">
        <v>113</v>
      </c>
      <c r="P354" s="4">
        <v>137</v>
      </c>
      <c r="Q354" s="9" t="str">
        <f>CHOOSE(FinalData[[#This Row],[Season]],"Spring","Summer","Fall","Winter")</f>
        <v>Spring</v>
      </c>
      <c r="R354" s="9" t="str">
        <f>CHOOSE(FinalData[[#This Row],[Weathersituation]],"Clear","Mist","Light Rain","Heavy Rain")</f>
        <v>Clear</v>
      </c>
      <c r="S354" s="9" t="str">
        <f>TEXT(FinalData[[#This Row],[Date]],"mmm")</f>
        <v>Feb</v>
      </c>
    </row>
    <row r="355" spans="1:19" x14ac:dyDescent="0.3">
      <c r="A355">
        <v>964</v>
      </c>
      <c r="B355" s="1">
        <v>40586</v>
      </c>
      <c r="C355">
        <v>1</v>
      </c>
      <c r="D355">
        <v>0</v>
      </c>
      <c r="E355">
        <v>2</v>
      </c>
      <c r="F355">
        <v>18</v>
      </c>
      <c r="G355" t="b">
        <v>0</v>
      </c>
      <c r="H355">
        <v>6</v>
      </c>
      <c r="I355">
        <v>1</v>
      </c>
      <c r="J355">
        <v>0.28000000000000003</v>
      </c>
      <c r="K355" s="6">
        <v>0.2576</v>
      </c>
      <c r="L355">
        <v>0.38</v>
      </c>
      <c r="M355">
        <v>0.32840000000000003</v>
      </c>
      <c r="N355" s="4">
        <v>4</v>
      </c>
      <c r="O355" s="4">
        <v>60</v>
      </c>
      <c r="P355" s="4">
        <v>64</v>
      </c>
      <c r="Q355" s="9" t="str">
        <f>CHOOSE(FinalData[[#This Row],[Season]],"Spring","Summer","Fall","Winter")</f>
        <v>Spring</v>
      </c>
      <c r="R355" s="9" t="str">
        <f>CHOOSE(FinalData[[#This Row],[Weathersituation]],"Clear","Mist","Light Rain","Heavy Rain")</f>
        <v>Clear</v>
      </c>
      <c r="S355" s="9" t="str">
        <f>TEXT(FinalData[[#This Row],[Date]],"mmm")</f>
        <v>Feb</v>
      </c>
    </row>
    <row r="356" spans="1:19" x14ac:dyDescent="0.3">
      <c r="A356">
        <v>965</v>
      </c>
      <c r="B356" s="1">
        <v>40586</v>
      </c>
      <c r="C356">
        <v>1</v>
      </c>
      <c r="D356">
        <v>0</v>
      </c>
      <c r="E356">
        <v>2</v>
      </c>
      <c r="F356">
        <v>19</v>
      </c>
      <c r="G356" t="b">
        <v>0</v>
      </c>
      <c r="H356">
        <v>6</v>
      </c>
      <c r="I356">
        <v>1</v>
      </c>
      <c r="J356">
        <v>0.28000000000000003</v>
      </c>
      <c r="K356" s="6">
        <v>0.2727</v>
      </c>
      <c r="L356">
        <v>0.38</v>
      </c>
      <c r="M356">
        <v>0.16420000000000001</v>
      </c>
      <c r="N356" s="4">
        <v>2</v>
      </c>
      <c r="O356" s="4">
        <v>39</v>
      </c>
      <c r="P356" s="4">
        <v>41</v>
      </c>
      <c r="Q356" s="9" t="str">
        <f>CHOOSE(FinalData[[#This Row],[Season]],"Spring","Summer","Fall","Winter")</f>
        <v>Spring</v>
      </c>
      <c r="R356" s="9" t="str">
        <f>CHOOSE(FinalData[[#This Row],[Weathersituation]],"Clear","Mist","Light Rain","Heavy Rain")</f>
        <v>Clear</v>
      </c>
      <c r="S356" s="9" t="str">
        <f>TEXT(FinalData[[#This Row],[Date]],"mmm")</f>
        <v>Feb</v>
      </c>
    </row>
    <row r="357" spans="1:19" x14ac:dyDescent="0.3">
      <c r="A357">
        <v>966</v>
      </c>
      <c r="B357" s="1">
        <v>40586</v>
      </c>
      <c r="C357">
        <v>1</v>
      </c>
      <c r="D357">
        <v>0</v>
      </c>
      <c r="E357">
        <v>2</v>
      </c>
      <c r="F357">
        <v>20</v>
      </c>
      <c r="G357" t="b">
        <v>0</v>
      </c>
      <c r="H357">
        <v>6</v>
      </c>
      <c r="I357">
        <v>1</v>
      </c>
      <c r="J357">
        <v>0.26</v>
      </c>
      <c r="K357" s="6">
        <v>0.2576</v>
      </c>
      <c r="L357">
        <v>0.41</v>
      </c>
      <c r="M357">
        <v>0.22389999999999999</v>
      </c>
      <c r="N357" s="4">
        <v>1</v>
      </c>
      <c r="O357" s="4">
        <v>39</v>
      </c>
      <c r="P357" s="4">
        <v>40</v>
      </c>
      <c r="Q357" s="9" t="str">
        <f>CHOOSE(FinalData[[#This Row],[Season]],"Spring","Summer","Fall","Winter")</f>
        <v>Spring</v>
      </c>
      <c r="R357" s="9" t="str">
        <f>CHOOSE(FinalData[[#This Row],[Weathersituation]],"Clear","Mist","Light Rain","Heavy Rain")</f>
        <v>Clear</v>
      </c>
      <c r="S357" s="9" t="str">
        <f>TEXT(FinalData[[#This Row],[Date]],"mmm")</f>
        <v>Feb</v>
      </c>
    </row>
    <row r="358" spans="1:19" x14ac:dyDescent="0.3">
      <c r="A358">
        <v>967</v>
      </c>
      <c r="B358" s="1">
        <v>40586</v>
      </c>
      <c r="C358">
        <v>1</v>
      </c>
      <c r="D358">
        <v>0</v>
      </c>
      <c r="E358">
        <v>2</v>
      </c>
      <c r="F358">
        <v>21</v>
      </c>
      <c r="G358" t="b">
        <v>0</v>
      </c>
      <c r="H358">
        <v>6</v>
      </c>
      <c r="I358">
        <v>1</v>
      </c>
      <c r="J358">
        <v>0.26</v>
      </c>
      <c r="K358" s="6">
        <v>0.30299999999999999</v>
      </c>
      <c r="L358">
        <v>0.41</v>
      </c>
      <c r="M358">
        <v>0</v>
      </c>
      <c r="N358" s="4">
        <v>9</v>
      </c>
      <c r="O358" s="4">
        <v>42</v>
      </c>
      <c r="P358" s="4">
        <v>51</v>
      </c>
      <c r="Q358" s="9" t="str">
        <f>CHOOSE(FinalData[[#This Row],[Season]],"Spring","Summer","Fall","Winter")</f>
        <v>Spring</v>
      </c>
      <c r="R358" s="9" t="str">
        <f>CHOOSE(FinalData[[#This Row],[Weathersituation]],"Clear","Mist","Light Rain","Heavy Rain")</f>
        <v>Clear</v>
      </c>
      <c r="S358" s="9" t="str">
        <f>TEXT(FinalData[[#This Row],[Date]],"mmm")</f>
        <v>Feb</v>
      </c>
    </row>
    <row r="359" spans="1:19" x14ac:dyDescent="0.3">
      <c r="A359">
        <v>968</v>
      </c>
      <c r="B359" s="1">
        <v>40586</v>
      </c>
      <c r="C359">
        <v>1</v>
      </c>
      <c r="D359">
        <v>0</v>
      </c>
      <c r="E359">
        <v>2</v>
      </c>
      <c r="F359">
        <v>22</v>
      </c>
      <c r="G359" t="b">
        <v>0</v>
      </c>
      <c r="H359">
        <v>6</v>
      </c>
      <c r="I359">
        <v>1</v>
      </c>
      <c r="J359">
        <v>0.24</v>
      </c>
      <c r="K359" s="6">
        <v>0.2576</v>
      </c>
      <c r="L359">
        <v>0.44</v>
      </c>
      <c r="M359">
        <v>8.9599999999999999E-2</v>
      </c>
      <c r="N359" s="4">
        <v>6</v>
      </c>
      <c r="O359" s="4">
        <v>39</v>
      </c>
      <c r="P359" s="4">
        <v>45</v>
      </c>
      <c r="Q359" s="9" t="str">
        <f>CHOOSE(FinalData[[#This Row],[Season]],"Spring","Summer","Fall","Winter")</f>
        <v>Spring</v>
      </c>
      <c r="R359" s="9" t="str">
        <f>CHOOSE(FinalData[[#This Row],[Weathersituation]],"Clear","Mist","Light Rain","Heavy Rain")</f>
        <v>Clear</v>
      </c>
      <c r="S359" s="9" t="str">
        <f>TEXT(FinalData[[#This Row],[Date]],"mmm")</f>
        <v>Feb</v>
      </c>
    </row>
    <row r="360" spans="1:19" x14ac:dyDescent="0.3">
      <c r="A360">
        <v>969</v>
      </c>
      <c r="B360" s="1">
        <v>40586</v>
      </c>
      <c r="C360">
        <v>1</v>
      </c>
      <c r="D360">
        <v>0</v>
      </c>
      <c r="E360">
        <v>2</v>
      </c>
      <c r="F360">
        <v>23</v>
      </c>
      <c r="G360" t="b">
        <v>0</v>
      </c>
      <c r="H360">
        <v>6</v>
      </c>
      <c r="I360">
        <v>1</v>
      </c>
      <c r="J360">
        <v>0.22</v>
      </c>
      <c r="K360" s="6">
        <v>0.2273</v>
      </c>
      <c r="L360">
        <v>0.51</v>
      </c>
      <c r="M360">
        <v>0.1343</v>
      </c>
      <c r="N360" s="4">
        <v>1</v>
      </c>
      <c r="O360" s="4">
        <v>31</v>
      </c>
      <c r="P360" s="4">
        <v>32</v>
      </c>
      <c r="Q360" s="9" t="str">
        <f>CHOOSE(FinalData[[#This Row],[Season]],"Spring","Summer","Fall","Winter")</f>
        <v>Spring</v>
      </c>
      <c r="R360" s="9" t="str">
        <f>CHOOSE(FinalData[[#This Row],[Weathersituation]],"Clear","Mist","Light Rain","Heavy Rain")</f>
        <v>Clear</v>
      </c>
      <c r="S360" s="9" t="str">
        <f>TEXT(FinalData[[#This Row],[Date]],"mmm")</f>
        <v>Feb</v>
      </c>
    </row>
    <row r="361" spans="1:19" x14ac:dyDescent="0.3">
      <c r="A361">
        <v>970</v>
      </c>
      <c r="B361" s="1">
        <v>40587</v>
      </c>
      <c r="C361">
        <v>1</v>
      </c>
      <c r="D361">
        <v>0</v>
      </c>
      <c r="E361">
        <v>2</v>
      </c>
      <c r="F361">
        <v>0</v>
      </c>
      <c r="G361" t="b">
        <v>0</v>
      </c>
      <c r="H361">
        <v>0</v>
      </c>
      <c r="I361">
        <v>1</v>
      </c>
      <c r="J361">
        <v>0.2</v>
      </c>
      <c r="K361" s="6">
        <v>0.2273</v>
      </c>
      <c r="L361">
        <v>0.64</v>
      </c>
      <c r="M361">
        <v>0.1045</v>
      </c>
      <c r="N361" s="4">
        <v>5</v>
      </c>
      <c r="O361" s="4">
        <v>34</v>
      </c>
      <c r="P361" s="4">
        <v>39</v>
      </c>
      <c r="Q361" s="9" t="str">
        <f>CHOOSE(FinalData[[#This Row],[Season]],"Spring","Summer","Fall","Winter")</f>
        <v>Spring</v>
      </c>
      <c r="R361" s="9" t="str">
        <f>CHOOSE(FinalData[[#This Row],[Weathersituation]],"Clear","Mist","Light Rain","Heavy Rain")</f>
        <v>Clear</v>
      </c>
      <c r="S361" s="9" t="str">
        <f>TEXT(FinalData[[#This Row],[Date]],"mmm")</f>
        <v>Feb</v>
      </c>
    </row>
    <row r="362" spans="1:19" x14ac:dyDescent="0.3">
      <c r="A362">
        <v>971</v>
      </c>
      <c r="B362" s="1">
        <v>40587</v>
      </c>
      <c r="C362">
        <v>1</v>
      </c>
      <c r="D362">
        <v>0</v>
      </c>
      <c r="E362">
        <v>2</v>
      </c>
      <c r="F362">
        <v>1</v>
      </c>
      <c r="G362" t="b">
        <v>0</v>
      </c>
      <c r="H362">
        <v>0</v>
      </c>
      <c r="I362">
        <v>1</v>
      </c>
      <c r="J362">
        <v>0.2</v>
      </c>
      <c r="K362" s="6">
        <v>0.2273</v>
      </c>
      <c r="L362">
        <v>0.59</v>
      </c>
      <c r="M362">
        <v>8.9599999999999999E-2</v>
      </c>
      <c r="N362" s="4">
        <v>1</v>
      </c>
      <c r="O362" s="4">
        <v>23</v>
      </c>
      <c r="P362" s="4">
        <v>24</v>
      </c>
      <c r="Q362" s="9" t="str">
        <f>CHOOSE(FinalData[[#This Row],[Season]],"Spring","Summer","Fall","Winter")</f>
        <v>Spring</v>
      </c>
      <c r="R362" s="9" t="str">
        <f>CHOOSE(FinalData[[#This Row],[Weathersituation]],"Clear","Mist","Light Rain","Heavy Rain")</f>
        <v>Clear</v>
      </c>
      <c r="S362" s="9" t="str">
        <f>TEXT(FinalData[[#This Row],[Date]],"mmm")</f>
        <v>Feb</v>
      </c>
    </row>
    <row r="363" spans="1:19" x14ac:dyDescent="0.3">
      <c r="A363">
        <v>972</v>
      </c>
      <c r="B363" s="1">
        <v>40587</v>
      </c>
      <c r="C363">
        <v>1</v>
      </c>
      <c r="D363">
        <v>0</v>
      </c>
      <c r="E363">
        <v>2</v>
      </c>
      <c r="F363">
        <v>2</v>
      </c>
      <c r="G363" t="b">
        <v>0</v>
      </c>
      <c r="H363">
        <v>0</v>
      </c>
      <c r="I363">
        <v>2</v>
      </c>
      <c r="J363">
        <v>0.2</v>
      </c>
      <c r="K363" s="6">
        <v>0.2273</v>
      </c>
      <c r="L363">
        <v>0.75</v>
      </c>
      <c r="M363">
        <v>8.9599999999999999E-2</v>
      </c>
      <c r="N363" s="4">
        <v>1</v>
      </c>
      <c r="O363" s="4">
        <v>19</v>
      </c>
      <c r="P363" s="4">
        <v>20</v>
      </c>
      <c r="Q363" s="9" t="str">
        <f>CHOOSE(FinalData[[#This Row],[Season]],"Spring","Summer","Fall","Winter")</f>
        <v>Spring</v>
      </c>
      <c r="R363" s="9" t="str">
        <f>CHOOSE(FinalData[[#This Row],[Weathersituation]],"Clear","Mist","Light Rain","Heavy Rain")</f>
        <v>Mist</v>
      </c>
      <c r="S363" s="9" t="str">
        <f>TEXT(FinalData[[#This Row],[Date]],"mmm")</f>
        <v>Feb</v>
      </c>
    </row>
    <row r="364" spans="1:19" x14ac:dyDescent="0.3">
      <c r="A364">
        <v>973</v>
      </c>
      <c r="B364" s="1">
        <v>40587</v>
      </c>
      <c r="C364">
        <v>1</v>
      </c>
      <c r="D364">
        <v>0</v>
      </c>
      <c r="E364">
        <v>2</v>
      </c>
      <c r="F364">
        <v>3</v>
      </c>
      <c r="G364" t="b">
        <v>0</v>
      </c>
      <c r="H364">
        <v>0</v>
      </c>
      <c r="I364">
        <v>2</v>
      </c>
      <c r="J364">
        <v>0.2</v>
      </c>
      <c r="K364" s="6">
        <v>0.2273</v>
      </c>
      <c r="L364">
        <v>0.69</v>
      </c>
      <c r="M364">
        <v>0.1045</v>
      </c>
      <c r="N364" s="4">
        <v>4</v>
      </c>
      <c r="O364" s="4">
        <v>8</v>
      </c>
      <c r="P364" s="4">
        <v>12</v>
      </c>
      <c r="Q364" s="9" t="str">
        <f>CHOOSE(FinalData[[#This Row],[Season]],"Spring","Summer","Fall","Winter")</f>
        <v>Spring</v>
      </c>
      <c r="R364" s="9" t="str">
        <f>CHOOSE(FinalData[[#This Row],[Weathersituation]],"Clear","Mist","Light Rain","Heavy Rain")</f>
        <v>Mist</v>
      </c>
      <c r="S364" s="9" t="str">
        <f>TEXT(FinalData[[#This Row],[Date]],"mmm")</f>
        <v>Feb</v>
      </c>
    </row>
    <row r="365" spans="1:19" x14ac:dyDescent="0.3">
      <c r="A365">
        <v>974</v>
      </c>
      <c r="B365" s="1">
        <v>40587</v>
      </c>
      <c r="C365">
        <v>1</v>
      </c>
      <c r="D365">
        <v>0</v>
      </c>
      <c r="E365">
        <v>2</v>
      </c>
      <c r="F365">
        <v>4</v>
      </c>
      <c r="G365" t="b">
        <v>0</v>
      </c>
      <c r="H365">
        <v>0</v>
      </c>
      <c r="I365">
        <v>2</v>
      </c>
      <c r="J365">
        <v>0.2</v>
      </c>
      <c r="K365" s="6">
        <v>0.21210000000000001</v>
      </c>
      <c r="L365">
        <v>0.69</v>
      </c>
      <c r="M365">
        <v>0.16420000000000001</v>
      </c>
      <c r="N365" s="4">
        <v>0</v>
      </c>
      <c r="O365" s="4">
        <v>2</v>
      </c>
      <c r="P365" s="4">
        <v>2</v>
      </c>
      <c r="Q365" s="9" t="str">
        <f>CHOOSE(FinalData[[#This Row],[Season]],"Spring","Summer","Fall","Winter")</f>
        <v>Spring</v>
      </c>
      <c r="R365" s="9" t="str">
        <f>CHOOSE(FinalData[[#This Row],[Weathersituation]],"Clear","Mist","Light Rain","Heavy Rain")</f>
        <v>Mist</v>
      </c>
      <c r="S365" s="9" t="str">
        <f>TEXT(FinalData[[#This Row],[Date]],"mmm")</f>
        <v>Feb</v>
      </c>
    </row>
    <row r="366" spans="1:19" x14ac:dyDescent="0.3">
      <c r="A366">
        <v>975</v>
      </c>
      <c r="B366" s="1">
        <v>40587</v>
      </c>
      <c r="C366">
        <v>1</v>
      </c>
      <c r="D366">
        <v>0</v>
      </c>
      <c r="E366">
        <v>2</v>
      </c>
      <c r="F366">
        <v>6</v>
      </c>
      <c r="G366" t="b">
        <v>0</v>
      </c>
      <c r="H366">
        <v>0</v>
      </c>
      <c r="I366">
        <v>2</v>
      </c>
      <c r="J366">
        <v>0.2</v>
      </c>
      <c r="K366" s="6">
        <v>0.21210000000000001</v>
      </c>
      <c r="L366">
        <v>0.69</v>
      </c>
      <c r="M366">
        <v>0.1343</v>
      </c>
      <c r="N366" s="4">
        <v>2</v>
      </c>
      <c r="O366" s="4">
        <v>3</v>
      </c>
      <c r="P366" s="4">
        <v>5</v>
      </c>
      <c r="Q366" s="9" t="str">
        <f>CHOOSE(FinalData[[#This Row],[Season]],"Spring","Summer","Fall","Winter")</f>
        <v>Spring</v>
      </c>
      <c r="R366" s="9" t="str">
        <f>CHOOSE(FinalData[[#This Row],[Weathersituation]],"Clear","Mist","Light Rain","Heavy Rain")</f>
        <v>Mist</v>
      </c>
      <c r="S366" s="9" t="str">
        <f>TEXT(FinalData[[#This Row],[Date]],"mmm")</f>
        <v>Feb</v>
      </c>
    </row>
    <row r="367" spans="1:19" x14ac:dyDescent="0.3">
      <c r="A367">
        <v>976</v>
      </c>
      <c r="B367" s="1">
        <v>40587</v>
      </c>
      <c r="C367">
        <v>1</v>
      </c>
      <c r="D367">
        <v>0</v>
      </c>
      <c r="E367">
        <v>2</v>
      </c>
      <c r="F367">
        <v>7</v>
      </c>
      <c r="G367" t="b">
        <v>0</v>
      </c>
      <c r="H367">
        <v>0</v>
      </c>
      <c r="I367">
        <v>2</v>
      </c>
      <c r="J367">
        <v>0.22</v>
      </c>
      <c r="K367" s="6">
        <v>0.2727</v>
      </c>
      <c r="L367">
        <v>0.55000000000000004</v>
      </c>
      <c r="M367">
        <v>0</v>
      </c>
      <c r="N367" s="4">
        <v>0</v>
      </c>
      <c r="O367" s="4">
        <v>3</v>
      </c>
      <c r="P367" s="4">
        <v>3</v>
      </c>
      <c r="Q367" s="9" t="str">
        <f>CHOOSE(FinalData[[#This Row],[Season]],"Spring","Summer","Fall","Winter")</f>
        <v>Spring</v>
      </c>
      <c r="R367" s="9" t="str">
        <f>CHOOSE(FinalData[[#This Row],[Weathersituation]],"Clear","Mist","Light Rain","Heavy Rain")</f>
        <v>Mist</v>
      </c>
      <c r="S367" s="9" t="str">
        <f>TEXT(FinalData[[#This Row],[Date]],"mmm")</f>
        <v>Feb</v>
      </c>
    </row>
    <row r="368" spans="1:19" x14ac:dyDescent="0.3">
      <c r="A368">
        <v>977</v>
      </c>
      <c r="B368" s="1">
        <v>40587</v>
      </c>
      <c r="C368">
        <v>1</v>
      </c>
      <c r="D368">
        <v>0</v>
      </c>
      <c r="E368">
        <v>2</v>
      </c>
      <c r="F368">
        <v>8</v>
      </c>
      <c r="G368" t="b">
        <v>0</v>
      </c>
      <c r="H368">
        <v>0</v>
      </c>
      <c r="I368">
        <v>2</v>
      </c>
      <c r="J368">
        <v>0.22</v>
      </c>
      <c r="K368" s="6">
        <v>0.2273</v>
      </c>
      <c r="L368">
        <v>0.64</v>
      </c>
      <c r="M368">
        <v>0.19400000000000001</v>
      </c>
      <c r="N368" s="4">
        <v>1</v>
      </c>
      <c r="O368" s="4">
        <v>11</v>
      </c>
      <c r="P368" s="4">
        <v>12</v>
      </c>
      <c r="Q368" s="9" t="str">
        <f>CHOOSE(FinalData[[#This Row],[Season]],"Spring","Summer","Fall","Winter")</f>
        <v>Spring</v>
      </c>
      <c r="R368" s="9" t="str">
        <f>CHOOSE(FinalData[[#This Row],[Weathersituation]],"Clear","Mist","Light Rain","Heavy Rain")</f>
        <v>Mist</v>
      </c>
      <c r="S368" s="9" t="str">
        <f>TEXT(FinalData[[#This Row],[Date]],"mmm")</f>
        <v>Feb</v>
      </c>
    </row>
    <row r="369" spans="1:19" x14ac:dyDescent="0.3">
      <c r="A369">
        <v>978</v>
      </c>
      <c r="B369" s="1">
        <v>40587</v>
      </c>
      <c r="C369">
        <v>1</v>
      </c>
      <c r="D369">
        <v>0</v>
      </c>
      <c r="E369">
        <v>2</v>
      </c>
      <c r="F369">
        <v>9</v>
      </c>
      <c r="G369" t="b">
        <v>0</v>
      </c>
      <c r="H369">
        <v>0</v>
      </c>
      <c r="I369">
        <v>2</v>
      </c>
      <c r="J369">
        <v>0.24</v>
      </c>
      <c r="K369" s="6">
        <v>0.2273</v>
      </c>
      <c r="L369">
        <v>0.6</v>
      </c>
      <c r="M369">
        <v>0.22389999999999999</v>
      </c>
      <c r="N369" s="4">
        <v>12</v>
      </c>
      <c r="O369" s="4">
        <v>35</v>
      </c>
      <c r="P369" s="4">
        <v>47</v>
      </c>
      <c r="Q369" s="9" t="str">
        <f>CHOOSE(FinalData[[#This Row],[Season]],"Spring","Summer","Fall","Winter")</f>
        <v>Spring</v>
      </c>
      <c r="R369" s="9" t="str">
        <f>CHOOSE(FinalData[[#This Row],[Weathersituation]],"Clear","Mist","Light Rain","Heavy Rain")</f>
        <v>Mist</v>
      </c>
      <c r="S369" s="9" t="str">
        <f>TEXT(FinalData[[#This Row],[Date]],"mmm")</f>
        <v>Feb</v>
      </c>
    </row>
    <row r="370" spans="1:19" x14ac:dyDescent="0.3">
      <c r="A370">
        <v>979</v>
      </c>
      <c r="B370" s="1">
        <v>40587</v>
      </c>
      <c r="C370">
        <v>1</v>
      </c>
      <c r="D370">
        <v>0</v>
      </c>
      <c r="E370">
        <v>2</v>
      </c>
      <c r="F370">
        <v>10</v>
      </c>
      <c r="G370" t="b">
        <v>0</v>
      </c>
      <c r="H370">
        <v>0</v>
      </c>
      <c r="I370">
        <v>1</v>
      </c>
      <c r="J370">
        <v>0.3</v>
      </c>
      <c r="K370" s="6">
        <v>0.2727</v>
      </c>
      <c r="L370">
        <v>0.45</v>
      </c>
      <c r="M370">
        <v>0.32840000000000003</v>
      </c>
      <c r="N370" s="4">
        <v>19</v>
      </c>
      <c r="O370" s="4">
        <v>86</v>
      </c>
      <c r="P370" s="4">
        <v>105</v>
      </c>
      <c r="Q370" s="9" t="str">
        <f>CHOOSE(FinalData[[#This Row],[Season]],"Spring","Summer","Fall","Winter")</f>
        <v>Spring</v>
      </c>
      <c r="R370" s="9" t="str">
        <f>CHOOSE(FinalData[[#This Row],[Weathersituation]],"Clear","Mist","Light Rain","Heavy Rain")</f>
        <v>Clear</v>
      </c>
      <c r="S370" s="9" t="str">
        <f>TEXT(FinalData[[#This Row],[Date]],"mmm")</f>
        <v>Feb</v>
      </c>
    </row>
    <row r="371" spans="1:19" x14ac:dyDescent="0.3">
      <c r="A371">
        <v>980</v>
      </c>
      <c r="B371" s="1">
        <v>40587</v>
      </c>
      <c r="C371">
        <v>1</v>
      </c>
      <c r="D371">
        <v>0</v>
      </c>
      <c r="E371">
        <v>2</v>
      </c>
      <c r="F371">
        <v>11</v>
      </c>
      <c r="G371" t="b">
        <v>0</v>
      </c>
      <c r="H371">
        <v>0</v>
      </c>
      <c r="I371">
        <v>1</v>
      </c>
      <c r="J371">
        <v>0.32</v>
      </c>
      <c r="K371" s="6">
        <v>0.28789999999999999</v>
      </c>
      <c r="L371">
        <v>0.39</v>
      </c>
      <c r="M371">
        <v>0.44779999999999998</v>
      </c>
      <c r="N371" s="4">
        <v>26</v>
      </c>
      <c r="O371" s="4">
        <v>86</v>
      </c>
      <c r="P371" s="4">
        <v>112</v>
      </c>
      <c r="Q371" s="9" t="str">
        <f>CHOOSE(FinalData[[#This Row],[Season]],"Spring","Summer","Fall","Winter")</f>
        <v>Spring</v>
      </c>
      <c r="R371" s="9" t="str">
        <f>CHOOSE(FinalData[[#This Row],[Weathersituation]],"Clear","Mist","Light Rain","Heavy Rain")</f>
        <v>Clear</v>
      </c>
      <c r="S371" s="9" t="str">
        <f>TEXT(FinalData[[#This Row],[Date]],"mmm")</f>
        <v>Feb</v>
      </c>
    </row>
    <row r="372" spans="1:19" x14ac:dyDescent="0.3">
      <c r="A372">
        <v>981</v>
      </c>
      <c r="B372" s="1">
        <v>40587</v>
      </c>
      <c r="C372">
        <v>1</v>
      </c>
      <c r="D372">
        <v>0</v>
      </c>
      <c r="E372">
        <v>2</v>
      </c>
      <c r="F372">
        <v>12</v>
      </c>
      <c r="G372" t="b">
        <v>0</v>
      </c>
      <c r="H372">
        <v>0</v>
      </c>
      <c r="I372">
        <v>1</v>
      </c>
      <c r="J372">
        <v>0.36</v>
      </c>
      <c r="K372" s="6">
        <v>0.31819999999999998</v>
      </c>
      <c r="L372">
        <v>0.32</v>
      </c>
      <c r="M372">
        <v>0.4627</v>
      </c>
      <c r="N372" s="4">
        <v>58</v>
      </c>
      <c r="O372" s="4">
        <v>94</v>
      </c>
      <c r="P372" s="4">
        <v>152</v>
      </c>
      <c r="Q372" s="9" t="str">
        <f>CHOOSE(FinalData[[#This Row],[Season]],"Spring","Summer","Fall","Winter")</f>
        <v>Spring</v>
      </c>
      <c r="R372" s="9" t="str">
        <f>CHOOSE(FinalData[[#This Row],[Weathersituation]],"Clear","Mist","Light Rain","Heavy Rain")</f>
        <v>Clear</v>
      </c>
      <c r="S372" s="9" t="str">
        <f>TEXT(FinalData[[#This Row],[Date]],"mmm")</f>
        <v>Feb</v>
      </c>
    </row>
    <row r="373" spans="1:19" x14ac:dyDescent="0.3">
      <c r="A373">
        <v>982</v>
      </c>
      <c r="B373" s="1">
        <v>40587</v>
      </c>
      <c r="C373">
        <v>1</v>
      </c>
      <c r="D373">
        <v>0</v>
      </c>
      <c r="E373">
        <v>2</v>
      </c>
      <c r="F373">
        <v>13</v>
      </c>
      <c r="G373" t="b">
        <v>0</v>
      </c>
      <c r="H373">
        <v>0</v>
      </c>
      <c r="I373">
        <v>1</v>
      </c>
      <c r="J373">
        <v>0.38</v>
      </c>
      <c r="K373" s="6">
        <v>0.39389999999999997</v>
      </c>
      <c r="L373">
        <v>0.28999999999999998</v>
      </c>
      <c r="M373">
        <v>0.35820000000000002</v>
      </c>
      <c r="N373" s="4">
        <v>62</v>
      </c>
      <c r="O373" s="4">
        <v>92</v>
      </c>
      <c r="P373" s="4">
        <v>154</v>
      </c>
      <c r="Q373" s="9" t="str">
        <f>CHOOSE(FinalData[[#This Row],[Season]],"Spring","Summer","Fall","Winter")</f>
        <v>Spring</v>
      </c>
      <c r="R373" s="9" t="str">
        <f>CHOOSE(FinalData[[#This Row],[Weathersituation]],"Clear","Mist","Light Rain","Heavy Rain")</f>
        <v>Clear</v>
      </c>
      <c r="S373" s="9" t="str">
        <f>TEXT(FinalData[[#This Row],[Date]],"mmm")</f>
        <v>Feb</v>
      </c>
    </row>
    <row r="374" spans="1:19" x14ac:dyDescent="0.3">
      <c r="A374">
        <v>983</v>
      </c>
      <c r="B374" s="1">
        <v>40587</v>
      </c>
      <c r="C374">
        <v>1</v>
      </c>
      <c r="D374">
        <v>0</v>
      </c>
      <c r="E374">
        <v>2</v>
      </c>
      <c r="F374">
        <v>14</v>
      </c>
      <c r="G374" t="b">
        <v>0</v>
      </c>
      <c r="H374">
        <v>0</v>
      </c>
      <c r="I374">
        <v>2</v>
      </c>
      <c r="J374">
        <v>0.4</v>
      </c>
      <c r="K374" s="6">
        <v>0.40910000000000002</v>
      </c>
      <c r="L374">
        <v>0.3</v>
      </c>
      <c r="M374">
        <v>0.41789999999999999</v>
      </c>
      <c r="N374" s="4">
        <v>51</v>
      </c>
      <c r="O374" s="4">
        <v>110</v>
      </c>
      <c r="P374" s="4">
        <v>161</v>
      </c>
      <c r="Q374" s="9" t="str">
        <f>CHOOSE(FinalData[[#This Row],[Season]],"Spring","Summer","Fall","Winter")</f>
        <v>Spring</v>
      </c>
      <c r="R374" s="9" t="str">
        <f>CHOOSE(FinalData[[#This Row],[Weathersituation]],"Clear","Mist","Light Rain","Heavy Rain")</f>
        <v>Mist</v>
      </c>
      <c r="S374" s="9" t="str">
        <f>TEXT(FinalData[[#This Row],[Date]],"mmm")</f>
        <v>Feb</v>
      </c>
    </row>
    <row r="375" spans="1:19" x14ac:dyDescent="0.3">
      <c r="A375">
        <v>984</v>
      </c>
      <c r="B375" s="1">
        <v>40587</v>
      </c>
      <c r="C375">
        <v>1</v>
      </c>
      <c r="D375">
        <v>0</v>
      </c>
      <c r="E375">
        <v>2</v>
      </c>
      <c r="F375">
        <v>15</v>
      </c>
      <c r="G375" t="b">
        <v>0</v>
      </c>
      <c r="H375">
        <v>0</v>
      </c>
      <c r="I375">
        <v>2</v>
      </c>
      <c r="J375">
        <v>0.4</v>
      </c>
      <c r="K375" s="6">
        <v>0.40910000000000002</v>
      </c>
      <c r="L375">
        <v>0.3</v>
      </c>
      <c r="M375">
        <v>0.29849999999999999</v>
      </c>
      <c r="N375" s="4">
        <v>40</v>
      </c>
      <c r="O375" s="4">
        <v>122</v>
      </c>
      <c r="P375" s="4">
        <v>162</v>
      </c>
      <c r="Q375" s="9" t="str">
        <f>CHOOSE(FinalData[[#This Row],[Season]],"Spring","Summer","Fall","Winter")</f>
        <v>Spring</v>
      </c>
      <c r="R375" s="9" t="str">
        <f>CHOOSE(FinalData[[#This Row],[Weathersituation]],"Clear","Mist","Light Rain","Heavy Rain")</f>
        <v>Mist</v>
      </c>
      <c r="S375" s="9" t="str">
        <f>TEXT(FinalData[[#This Row],[Date]],"mmm")</f>
        <v>Feb</v>
      </c>
    </row>
    <row r="376" spans="1:19" x14ac:dyDescent="0.3">
      <c r="A376">
        <v>985</v>
      </c>
      <c r="B376" s="1">
        <v>40587</v>
      </c>
      <c r="C376">
        <v>1</v>
      </c>
      <c r="D376">
        <v>0</v>
      </c>
      <c r="E376">
        <v>2</v>
      </c>
      <c r="F376">
        <v>16</v>
      </c>
      <c r="G376" t="b">
        <v>0</v>
      </c>
      <c r="H376">
        <v>0</v>
      </c>
      <c r="I376">
        <v>2</v>
      </c>
      <c r="J376">
        <v>0.42</v>
      </c>
      <c r="K376" s="6">
        <v>0.42420000000000002</v>
      </c>
      <c r="L376">
        <v>0.28000000000000003</v>
      </c>
      <c r="M376">
        <v>0.32840000000000003</v>
      </c>
      <c r="N376" s="4">
        <v>28</v>
      </c>
      <c r="O376" s="4">
        <v>106</v>
      </c>
      <c r="P376" s="4">
        <v>134</v>
      </c>
      <c r="Q376" s="9" t="str">
        <f>CHOOSE(FinalData[[#This Row],[Season]],"Spring","Summer","Fall","Winter")</f>
        <v>Spring</v>
      </c>
      <c r="R376" s="9" t="str">
        <f>CHOOSE(FinalData[[#This Row],[Weathersituation]],"Clear","Mist","Light Rain","Heavy Rain")</f>
        <v>Mist</v>
      </c>
      <c r="S376" s="9" t="str">
        <f>TEXT(FinalData[[#This Row],[Date]],"mmm")</f>
        <v>Feb</v>
      </c>
    </row>
    <row r="377" spans="1:19" x14ac:dyDescent="0.3">
      <c r="A377">
        <v>986</v>
      </c>
      <c r="B377" s="1">
        <v>40587</v>
      </c>
      <c r="C377">
        <v>1</v>
      </c>
      <c r="D377">
        <v>0</v>
      </c>
      <c r="E377">
        <v>2</v>
      </c>
      <c r="F377">
        <v>17</v>
      </c>
      <c r="G377" t="b">
        <v>0</v>
      </c>
      <c r="H377">
        <v>0</v>
      </c>
      <c r="I377">
        <v>1</v>
      </c>
      <c r="J377">
        <v>0.42</v>
      </c>
      <c r="K377" s="6">
        <v>0.42420000000000002</v>
      </c>
      <c r="L377">
        <v>0.28000000000000003</v>
      </c>
      <c r="M377">
        <v>0.32840000000000003</v>
      </c>
      <c r="N377" s="4">
        <v>30</v>
      </c>
      <c r="O377" s="4">
        <v>95</v>
      </c>
      <c r="P377" s="4">
        <v>125</v>
      </c>
      <c r="Q377" s="9" t="str">
        <f>CHOOSE(FinalData[[#This Row],[Season]],"Spring","Summer","Fall","Winter")</f>
        <v>Spring</v>
      </c>
      <c r="R377" s="9" t="str">
        <f>CHOOSE(FinalData[[#This Row],[Weathersituation]],"Clear","Mist","Light Rain","Heavy Rain")</f>
        <v>Clear</v>
      </c>
      <c r="S377" s="9" t="str">
        <f>TEXT(FinalData[[#This Row],[Date]],"mmm")</f>
        <v>Feb</v>
      </c>
    </row>
    <row r="378" spans="1:19" x14ac:dyDescent="0.3">
      <c r="A378">
        <v>987</v>
      </c>
      <c r="B378" s="1">
        <v>40587</v>
      </c>
      <c r="C378">
        <v>1</v>
      </c>
      <c r="D378">
        <v>0</v>
      </c>
      <c r="E378">
        <v>2</v>
      </c>
      <c r="F378">
        <v>18</v>
      </c>
      <c r="G378" t="b">
        <v>0</v>
      </c>
      <c r="H378">
        <v>0</v>
      </c>
      <c r="I378">
        <v>1</v>
      </c>
      <c r="J378">
        <v>0.4</v>
      </c>
      <c r="K378" s="6">
        <v>0.40910000000000002</v>
      </c>
      <c r="L378">
        <v>0.32</v>
      </c>
      <c r="M378">
        <v>0.29849999999999999</v>
      </c>
      <c r="N378" s="4">
        <v>17</v>
      </c>
      <c r="O378" s="4">
        <v>78</v>
      </c>
      <c r="P378" s="4">
        <v>95</v>
      </c>
      <c r="Q378" s="9" t="str">
        <f>CHOOSE(FinalData[[#This Row],[Season]],"Spring","Summer","Fall","Winter")</f>
        <v>Spring</v>
      </c>
      <c r="R378" s="9" t="str">
        <f>CHOOSE(FinalData[[#This Row],[Weathersituation]],"Clear","Mist","Light Rain","Heavy Rain")</f>
        <v>Clear</v>
      </c>
      <c r="S378" s="9" t="str">
        <f>TEXT(FinalData[[#This Row],[Date]],"mmm")</f>
        <v>Feb</v>
      </c>
    </row>
    <row r="379" spans="1:19" x14ac:dyDescent="0.3">
      <c r="A379">
        <v>988</v>
      </c>
      <c r="B379" s="1">
        <v>40587</v>
      </c>
      <c r="C379">
        <v>1</v>
      </c>
      <c r="D379">
        <v>0</v>
      </c>
      <c r="E379">
        <v>2</v>
      </c>
      <c r="F379">
        <v>19</v>
      </c>
      <c r="G379" t="b">
        <v>0</v>
      </c>
      <c r="H379">
        <v>0</v>
      </c>
      <c r="I379">
        <v>1</v>
      </c>
      <c r="J379">
        <v>0.4</v>
      </c>
      <c r="K379" s="6">
        <v>0.40910000000000002</v>
      </c>
      <c r="L379">
        <v>0.35</v>
      </c>
      <c r="M379">
        <v>0.28360000000000002</v>
      </c>
      <c r="N379" s="4">
        <v>11</v>
      </c>
      <c r="O379" s="4">
        <v>50</v>
      </c>
      <c r="P379" s="4">
        <v>61</v>
      </c>
      <c r="Q379" s="9" t="str">
        <f>CHOOSE(FinalData[[#This Row],[Season]],"Spring","Summer","Fall","Winter")</f>
        <v>Spring</v>
      </c>
      <c r="R379" s="9" t="str">
        <f>CHOOSE(FinalData[[#This Row],[Weathersituation]],"Clear","Mist","Light Rain","Heavy Rain")</f>
        <v>Clear</v>
      </c>
      <c r="S379" s="9" t="str">
        <f>TEXT(FinalData[[#This Row],[Date]],"mmm")</f>
        <v>Feb</v>
      </c>
    </row>
    <row r="380" spans="1:19" x14ac:dyDescent="0.3">
      <c r="A380">
        <v>989</v>
      </c>
      <c r="B380" s="1">
        <v>40587</v>
      </c>
      <c r="C380">
        <v>1</v>
      </c>
      <c r="D380">
        <v>0</v>
      </c>
      <c r="E380">
        <v>2</v>
      </c>
      <c r="F380">
        <v>20</v>
      </c>
      <c r="G380" t="b">
        <v>0</v>
      </c>
      <c r="H380">
        <v>0</v>
      </c>
      <c r="I380">
        <v>1</v>
      </c>
      <c r="J380">
        <v>0.4</v>
      </c>
      <c r="K380" s="6">
        <v>0.40910000000000002</v>
      </c>
      <c r="L380">
        <v>0.35</v>
      </c>
      <c r="M380">
        <v>0.32840000000000003</v>
      </c>
      <c r="N380" s="4">
        <v>15</v>
      </c>
      <c r="O380" s="4">
        <v>32</v>
      </c>
      <c r="P380" s="4">
        <v>47</v>
      </c>
      <c r="Q380" s="9" t="str">
        <f>CHOOSE(FinalData[[#This Row],[Season]],"Spring","Summer","Fall","Winter")</f>
        <v>Spring</v>
      </c>
      <c r="R380" s="9" t="str">
        <f>CHOOSE(FinalData[[#This Row],[Weathersituation]],"Clear","Mist","Light Rain","Heavy Rain")</f>
        <v>Clear</v>
      </c>
      <c r="S380" s="9" t="str">
        <f>TEXT(FinalData[[#This Row],[Date]],"mmm")</f>
        <v>Feb</v>
      </c>
    </row>
    <row r="381" spans="1:19" x14ac:dyDescent="0.3">
      <c r="A381">
        <v>990</v>
      </c>
      <c r="B381" s="1">
        <v>40587</v>
      </c>
      <c r="C381">
        <v>1</v>
      </c>
      <c r="D381">
        <v>0</v>
      </c>
      <c r="E381">
        <v>2</v>
      </c>
      <c r="F381">
        <v>21</v>
      </c>
      <c r="G381" t="b">
        <v>0</v>
      </c>
      <c r="H381">
        <v>0</v>
      </c>
      <c r="I381">
        <v>1</v>
      </c>
      <c r="J381">
        <v>0.4</v>
      </c>
      <c r="K381" s="6">
        <v>0.40910000000000002</v>
      </c>
      <c r="L381">
        <v>0.35</v>
      </c>
      <c r="M381">
        <v>0.35820000000000002</v>
      </c>
      <c r="N381" s="4">
        <v>6</v>
      </c>
      <c r="O381" s="4">
        <v>45</v>
      </c>
      <c r="P381" s="4">
        <v>51</v>
      </c>
      <c r="Q381" s="9" t="str">
        <f>CHOOSE(FinalData[[#This Row],[Season]],"Spring","Summer","Fall","Winter")</f>
        <v>Spring</v>
      </c>
      <c r="R381" s="9" t="str">
        <f>CHOOSE(FinalData[[#This Row],[Weathersituation]],"Clear","Mist","Light Rain","Heavy Rain")</f>
        <v>Clear</v>
      </c>
      <c r="S381" s="9" t="str">
        <f>TEXT(FinalData[[#This Row],[Date]],"mmm")</f>
        <v>Feb</v>
      </c>
    </row>
    <row r="382" spans="1:19" x14ac:dyDescent="0.3">
      <c r="A382">
        <v>991</v>
      </c>
      <c r="B382" s="1">
        <v>40587</v>
      </c>
      <c r="C382">
        <v>1</v>
      </c>
      <c r="D382">
        <v>0</v>
      </c>
      <c r="E382">
        <v>2</v>
      </c>
      <c r="F382">
        <v>22</v>
      </c>
      <c r="G382" t="b">
        <v>0</v>
      </c>
      <c r="H382">
        <v>0</v>
      </c>
      <c r="I382">
        <v>1</v>
      </c>
      <c r="J382">
        <v>0.4</v>
      </c>
      <c r="K382" s="6">
        <v>0.40910000000000002</v>
      </c>
      <c r="L382">
        <v>0.35</v>
      </c>
      <c r="M382">
        <v>0.29849999999999999</v>
      </c>
      <c r="N382" s="4">
        <v>5</v>
      </c>
      <c r="O382" s="4">
        <v>31</v>
      </c>
      <c r="P382" s="4">
        <v>36</v>
      </c>
      <c r="Q382" s="9" t="str">
        <f>CHOOSE(FinalData[[#This Row],[Season]],"Spring","Summer","Fall","Winter")</f>
        <v>Spring</v>
      </c>
      <c r="R382" s="9" t="str">
        <f>CHOOSE(FinalData[[#This Row],[Weathersituation]],"Clear","Mist","Light Rain","Heavy Rain")</f>
        <v>Clear</v>
      </c>
      <c r="S382" s="9" t="str">
        <f>TEXT(FinalData[[#This Row],[Date]],"mmm")</f>
        <v>Feb</v>
      </c>
    </row>
    <row r="383" spans="1:19" x14ac:dyDescent="0.3">
      <c r="A383">
        <v>992</v>
      </c>
      <c r="B383" s="1">
        <v>40587</v>
      </c>
      <c r="C383">
        <v>1</v>
      </c>
      <c r="D383">
        <v>0</v>
      </c>
      <c r="E383">
        <v>2</v>
      </c>
      <c r="F383">
        <v>23</v>
      </c>
      <c r="G383" t="b">
        <v>0</v>
      </c>
      <c r="H383">
        <v>0</v>
      </c>
      <c r="I383">
        <v>1</v>
      </c>
      <c r="J383">
        <v>0.4</v>
      </c>
      <c r="K383" s="6">
        <v>0.40910000000000002</v>
      </c>
      <c r="L383">
        <v>0.35</v>
      </c>
      <c r="M383">
        <v>0.35820000000000002</v>
      </c>
      <c r="N383" s="4">
        <v>3</v>
      </c>
      <c r="O383" s="4">
        <v>27</v>
      </c>
      <c r="P383" s="4">
        <v>30</v>
      </c>
      <c r="Q383" s="9" t="str">
        <f>CHOOSE(FinalData[[#This Row],[Season]],"Spring","Summer","Fall","Winter")</f>
        <v>Spring</v>
      </c>
      <c r="R383" s="9" t="str">
        <f>CHOOSE(FinalData[[#This Row],[Weathersituation]],"Clear","Mist","Light Rain","Heavy Rain")</f>
        <v>Clear</v>
      </c>
      <c r="S383" s="9" t="str">
        <f>TEXT(FinalData[[#This Row],[Date]],"mmm")</f>
        <v>Feb</v>
      </c>
    </row>
    <row r="384" spans="1:19" x14ac:dyDescent="0.3">
      <c r="A384">
        <v>993</v>
      </c>
      <c r="B384" s="1">
        <v>40588</v>
      </c>
      <c r="C384">
        <v>1</v>
      </c>
      <c r="D384">
        <v>0</v>
      </c>
      <c r="E384">
        <v>2</v>
      </c>
      <c r="F384">
        <v>0</v>
      </c>
      <c r="G384" t="b">
        <v>0</v>
      </c>
      <c r="H384">
        <v>1</v>
      </c>
      <c r="I384">
        <v>1</v>
      </c>
      <c r="J384">
        <v>0.38</v>
      </c>
      <c r="K384" s="6">
        <v>0.39389999999999997</v>
      </c>
      <c r="L384">
        <v>0.37</v>
      </c>
      <c r="M384">
        <v>0.35820000000000002</v>
      </c>
      <c r="N384" s="4">
        <v>3</v>
      </c>
      <c r="O384" s="4">
        <v>8</v>
      </c>
      <c r="P384" s="4">
        <v>11</v>
      </c>
      <c r="Q384" s="9" t="str">
        <f>CHOOSE(FinalData[[#This Row],[Season]],"Spring","Summer","Fall","Winter")</f>
        <v>Spring</v>
      </c>
      <c r="R384" s="9" t="str">
        <f>CHOOSE(FinalData[[#This Row],[Weathersituation]],"Clear","Mist","Light Rain","Heavy Rain")</f>
        <v>Clear</v>
      </c>
      <c r="S384" s="9" t="str">
        <f>TEXT(FinalData[[#This Row],[Date]],"mmm")</f>
        <v>Feb</v>
      </c>
    </row>
    <row r="385" spans="1:19" x14ac:dyDescent="0.3">
      <c r="A385">
        <v>994</v>
      </c>
      <c r="B385" s="1">
        <v>40588</v>
      </c>
      <c r="C385">
        <v>1</v>
      </c>
      <c r="D385">
        <v>0</v>
      </c>
      <c r="E385">
        <v>2</v>
      </c>
      <c r="F385">
        <v>1</v>
      </c>
      <c r="G385" t="b">
        <v>0</v>
      </c>
      <c r="H385">
        <v>1</v>
      </c>
      <c r="I385">
        <v>1</v>
      </c>
      <c r="J385">
        <v>0.38</v>
      </c>
      <c r="K385" s="6">
        <v>0.39389999999999997</v>
      </c>
      <c r="L385">
        <v>0.37</v>
      </c>
      <c r="M385">
        <v>0.35820000000000002</v>
      </c>
      <c r="N385" s="4">
        <v>1</v>
      </c>
      <c r="O385" s="4">
        <v>6</v>
      </c>
      <c r="P385" s="4">
        <v>7</v>
      </c>
      <c r="Q385" s="9" t="str">
        <f>CHOOSE(FinalData[[#This Row],[Season]],"Spring","Summer","Fall","Winter")</f>
        <v>Spring</v>
      </c>
      <c r="R385" s="9" t="str">
        <f>CHOOSE(FinalData[[#This Row],[Weathersituation]],"Clear","Mist","Light Rain","Heavy Rain")</f>
        <v>Clear</v>
      </c>
      <c r="S385" s="9" t="str">
        <f>TEXT(FinalData[[#This Row],[Date]],"mmm")</f>
        <v>Feb</v>
      </c>
    </row>
    <row r="386" spans="1:19" x14ac:dyDescent="0.3">
      <c r="A386">
        <v>995</v>
      </c>
      <c r="B386" s="1">
        <v>40588</v>
      </c>
      <c r="C386">
        <v>1</v>
      </c>
      <c r="D386">
        <v>0</v>
      </c>
      <c r="E386">
        <v>2</v>
      </c>
      <c r="F386">
        <v>2</v>
      </c>
      <c r="G386" t="b">
        <v>0</v>
      </c>
      <c r="H386">
        <v>1</v>
      </c>
      <c r="I386">
        <v>1</v>
      </c>
      <c r="J386">
        <v>0.36</v>
      </c>
      <c r="K386" s="6">
        <v>0.33329999999999999</v>
      </c>
      <c r="L386">
        <v>0.4</v>
      </c>
      <c r="M386">
        <v>0.29849999999999999</v>
      </c>
      <c r="N386" s="4">
        <v>0</v>
      </c>
      <c r="O386" s="4">
        <v>2</v>
      </c>
      <c r="P386" s="4">
        <v>2</v>
      </c>
      <c r="Q386" s="9" t="str">
        <f>CHOOSE(FinalData[[#This Row],[Season]],"Spring","Summer","Fall","Winter")</f>
        <v>Spring</v>
      </c>
      <c r="R386" s="9" t="str">
        <f>CHOOSE(FinalData[[#This Row],[Weathersituation]],"Clear","Mist","Light Rain","Heavy Rain")</f>
        <v>Clear</v>
      </c>
      <c r="S386" s="9" t="str">
        <f>TEXT(FinalData[[#This Row],[Date]],"mmm")</f>
        <v>Feb</v>
      </c>
    </row>
    <row r="387" spans="1:19" x14ac:dyDescent="0.3">
      <c r="A387">
        <v>996</v>
      </c>
      <c r="B387" s="1">
        <v>40588</v>
      </c>
      <c r="C387">
        <v>1</v>
      </c>
      <c r="D387">
        <v>0</v>
      </c>
      <c r="E387">
        <v>2</v>
      </c>
      <c r="F387">
        <v>3</v>
      </c>
      <c r="G387" t="b">
        <v>0</v>
      </c>
      <c r="H387">
        <v>1</v>
      </c>
      <c r="I387">
        <v>1</v>
      </c>
      <c r="J387">
        <v>0.34</v>
      </c>
      <c r="K387" s="6">
        <v>0.31819999999999998</v>
      </c>
      <c r="L387">
        <v>0.46</v>
      </c>
      <c r="M387">
        <v>0.22389999999999999</v>
      </c>
      <c r="N387" s="4">
        <v>1</v>
      </c>
      <c r="O387" s="4">
        <v>1</v>
      </c>
      <c r="P387" s="4">
        <v>2</v>
      </c>
      <c r="Q387" s="9" t="str">
        <f>CHOOSE(FinalData[[#This Row],[Season]],"Spring","Summer","Fall","Winter")</f>
        <v>Spring</v>
      </c>
      <c r="R387" s="9" t="str">
        <f>CHOOSE(FinalData[[#This Row],[Weathersituation]],"Clear","Mist","Light Rain","Heavy Rain")</f>
        <v>Clear</v>
      </c>
      <c r="S387" s="9" t="str">
        <f>TEXT(FinalData[[#This Row],[Date]],"mmm")</f>
        <v>Feb</v>
      </c>
    </row>
    <row r="388" spans="1:19" x14ac:dyDescent="0.3">
      <c r="A388">
        <v>997</v>
      </c>
      <c r="B388" s="1">
        <v>40588</v>
      </c>
      <c r="C388">
        <v>1</v>
      </c>
      <c r="D388">
        <v>0</v>
      </c>
      <c r="E388">
        <v>2</v>
      </c>
      <c r="F388">
        <v>4</v>
      </c>
      <c r="G388" t="b">
        <v>0</v>
      </c>
      <c r="H388">
        <v>1</v>
      </c>
      <c r="I388">
        <v>1</v>
      </c>
      <c r="J388">
        <v>0.32</v>
      </c>
      <c r="K388" s="6">
        <v>0.30299999999999999</v>
      </c>
      <c r="L388">
        <v>0.53</v>
      </c>
      <c r="M388">
        <v>0.28360000000000002</v>
      </c>
      <c r="N388" s="4">
        <v>0</v>
      </c>
      <c r="O388" s="4">
        <v>2</v>
      </c>
      <c r="P388" s="4">
        <v>2</v>
      </c>
      <c r="Q388" s="9" t="str">
        <f>CHOOSE(FinalData[[#This Row],[Season]],"Spring","Summer","Fall","Winter")</f>
        <v>Spring</v>
      </c>
      <c r="R388" s="9" t="str">
        <f>CHOOSE(FinalData[[#This Row],[Weathersituation]],"Clear","Mist","Light Rain","Heavy Rain")</f>
        <v>Clear</v>
      </c>
      <c r="S388" s="9" t="str">
        <f>TEXT(FinalData[[#This Row],[Date]],"mmm")</f>
        <v>Feb</v>
      </c>
    </row>
    <row r="389" spans="1:19" x14ac:dyDescent="0.3">
      <c r="A389">
        <v>998</v>
      </c>
      <c r="B389" s="1">
        <v>40588</v>
      </c>
      <c r="C389">
        <v>1</v>
      </c>
      <c r="D389">
        <v>0</v>
      </c>
      <c r="E389">
        <v>2</v>
      </c>
      <c r="F389">
        <v>5</v>
      </c>
      <c r="G389" t="b">
        <v>0</v>
      </c>
      <c r="H389">
        <v>1</v>
      </c>
      <c r="I389">
        <v>1</v>
      </c>
      <c r="J389">
        <v>0.32</v>
      </c>
      <c r="K389" s="6">
        <v>0.30299999999999999</v>
      </c>
      <c r="L389">
        <v>0.53</v>
      </c>
      <c r="M389">
        <v>0.28360000000000002</v>
      </c>
      <c r="N389" s="4">
        <v>0</v>
      </c>
      <c r="O389" s="4">
        <v>3</v>
      </c>
      <c r="P389" s="4">
        <v>3</v>
      </c>
      <c r="Q389" s="9" t="str">
        <f>CHOOSE(FinalData[[#This Row],[Season]],"Spring","Summer","Fall","Winter")</f>
        <v>Spring</v>
      </c>
      <c r="R389" s="9" t="str">
        <f>CHOOSE(FinalData[[#This Row],[Weathersituation]],"Clear","Mist","Light Rain","Heavy Rain")</f>
        <v>Clear</v>
      </c>
      <c r="S389" s="9" t="str">
        <f>TEXT(FinalData[[#This Row],[Date]],"mmm")</f>
        <v>Feb</v>
      </c>
    </row>
    <row r="390" spans="1:19" x14ac:dyDescent="0.3">
      <c r="A390">
        <v>999</v>
      </c>
      <c r="B390" s="1">
        <v>40588</v>
      </c>
      <c r="C390">
        <v>1</v>
      </c>
      <c r="D390">
        <v>0</v>
      </c>
      <c r="E390">
        <v>2</v>
      </c>
      <c r="F390">
        <v>6</v>
      </c>
      <c r="G390" t="b">
        <v>0</v>
      </c>
      <c r="H390">
        <v>1</v>
      </c>
      <c r="I390">
        <v>1</v>
      </c>
      <c r="J390">
        <v>0.34</v>
      </c>
      <c r="K390" s="6">
        <v>0.30299999999999999</v>
      </c>
      <c r="L390">
        <v>0.46</v>
      </c>
      <c r="M390">
        <v>0.29849999999999999</v>
      </c>
      <c r="N390" s="4">
        <v>1</v>
      </c>
      <c r="O390" s="4">
        <v>25</v>
      </c>
      <c r="P390" s="4">
        <v>26</v>
      </c>
      <c r="Q390" s="9" t="str">
        <f>CHOOSE(FinalData[[#This Row],[Season]],"Spring","Summer","Fall","Winter")</f>
        <v>Spring</v>
      </c>
      <c r="R390" s="9" t="str">
        <f>CHOOSE(FinalData[[#This Row],[Weathersituation]],"Clear","Mist","Light Rain","Heavy Rain")</f>
        <v>Clear</v>
      </c>
      <c r="S390" s="9" t="str">
        <f>TEXT(FinalData[[#This Row],[Date]],"mmm")</f>
        <v>Feb</v>
      </c>
    </row>
    <row r="391" spans="1:19" x14ac:dyDescent="0.3">
      <c r="A391">
        <v>1000</v>
      </c>
      <c r="B391" s="1">
        <v>40588</v>
      </c>
      <c r="C391">
        <v>1</v>
      </c>
      <c r="D391">
        <v>0</v>
      </c>
      <c r="E391">
        <v>2</v>
      </c>
      <c r="F391">
        <v>7</v>
      </c>
      <c r="G391" t="b">
        <v>0</v>
      </c>
      <c r="H391">
        <v>1</v>
      </c>
      <c r="I391">
        <v>1</v>
      </c>
      <c r="J391">
        <v>0.34</v>
      </c>
      <c r="K391" s="6">
        <v>0.30299999999999999</v>
      </c>
      <c r="L391">
        <v>0.46</v>
      </c>
      <c r="M391">
        <v>0.29849999999999999</v>
      </c>
      <c r="N391" s="4">
        <v>2</v>
      </c>
      <c r="O391" s="4">
        <v>96</v>
      </c>
      <c r="P391" s="4">
        <v>98</v>
      </c>
      <c r="Q391" s="9" t="str">
        <f>CHOOSE(FinalData[[#This Row],[Season]],"Spring","Summer","Fall","Winter")</f>
        <v>Spring</v>
      </c>
      <c r="R391" s="9" t="str">
        <f>CHOOSE(FinalData[[#This Row],[Weathersituation]],"Clear","Mist","Light Rain","Heavy Rain")</f>
        <v>Clear</v>
      </c>
      <c r="S391" s="9" t="str">
        <f>TEXT(FinalData[[#This Row],[Date]],"mmm")</f>
        <v>Feb</v>
      </c>
    </row>
    <row r="392" spans="1:19" x14ac:dyDescent="0.3">
      <c r="K392" s="10"/>
    </row>
    <row r="393" spans="1:19" x14ac:dyDescent="0.3">
      <c r="K393" s="10"/>
      <c r="M393" t="s">
        <v>20</v>
      </c>
    </row>
  </sheetData>
  <pageMargins left="0.7" right="0.7" top="0.75" bottom="0.75" header="0.3" footer="0.3"/>
  <pageSetup paperSize="9" orientation="portrait" verticalDpi="0" r:id="rId1"/>
  <ignoredErrors>
    <ignoredError sqref="S2:S3" calculatedColumn="1"/>
  </ignoredErrors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BikeData2 Raw</vt:lpstr>
      <vt:lpstr>Table3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Suresh Kumar</dc:creator>
  <cp:lastModifiedBy>Suresh Kumar</cp:lastModifiedBy>
  <cp:lastPrinted>2026-07-25T06:27:19Z</cp:lastPrinted>
  <dcterms:created xsi:type="dcterms:W3CDTF">2026-07-22T12:37:50Z</dcterms:created>
  <dcterms:modified xsi:type="dcterms:W3CDTF">2026-07-25T09:14:30Z</dcterms:modified>
</cp:coreProperties>
</file>